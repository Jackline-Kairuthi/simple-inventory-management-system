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f54c2ce8ce3e5c26/Desktop/2026/GITHUB PORTFOLIO/Excel/"/>
    </mc:Choice>
  </mc:AlternateContent>
  <xr:revisionPtr revIDLastSave="292" documentId="14_{0D1CCDB9-BD85-4146-A703-215A326BCFDA}" xr6:coauthVersionLast="47" xr6:coauthVersionMax="47" xr10:uidLastSave="{F3BB3A8A-02ED-4309-A7BA-E73C929ABD3D}"/>
  <bookViews>
    <workbookView xWindow="-108" yWindow="-108" windowWidth="23256" windowHeight="12576" xr2:uid="{00000000-000D-0000-FFFF-FFFF00000000}"/>
  </bookViews>
  <sheets>
    <sheet name="Data Model Notes section" sheetId="7" r:id="rId1"/>
    <sheet name="SpendDataTbl" sheetId="1" r:id="rId2"/>
    <sheet name="Dashboard" sheetId="3" r:id="rId3"/>
    <sheet name="PivotTables" sheetId="2" r:id="rId4"/>
    <sheet name="Tests_Validation" sheetId="4" r:id="rId5"/>
  </sheets>
  <definedNames>
    <definedName name="_xlnm.Print_Area" localSheetId="0">'Data Model Notes section'!$A$1:$Y$100</definedName>
    <definedName name="Slicer_Category">#N/A</definedName>
    <definedName name="Slicer_Currency">#N/A</definedName>
    <definedName name="Slicer_Delivery_Status">#N/A</definedName>
    <definedName name="Slicer_Invoice_Status">#N/A</definedName>
    <definedName name="Slicer_Supplier1">#N/A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8" i="3" l="1" a="1"/>
  <c r="K18" i="3" s="1"/>
  <c r="Q18" i="3"/>
  <c r="E18" i="3"/>
  <c r="B11" i="4"/>
  <c r="B8" i="4"/>
  <c r="B7" i="4"/>
  <c r="B2" i="4"/>
  <c r="B4" i="4" s="1"/>
  <c r="Q15" i="3"/>
  <c r="K15" i="3"/>
  <c r="E15" i="3"/>
  <c r="Q12" i="3"/>
  <c r="K12" i="3"/>
  <c r="E12" i="3"/>
  <c r="Q9" i="3"/>
  <c r="K9" i="3"/>
  <c r="E9"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<sst xmlns="http://schemas.openxmlformats.org/spreadsheetml/2006/main" count="10208" uniqueCount="1164">
  <si>
    <t>Date</t>
  </si>
  <si>
    <t>Supplier</t>
  </si>
  <si>
    <t>Category</t>
  </si>
  <si>
    <t>Amount</t>
  </si>
  <si>
    <t>Currency</t>
  </si>
  <si>
    <t>PO Number</t>
  </si>
  <si>
    <t>Delivery Status</t>
  </si>
  <si>
    <t>Defects</t>
  </si>
  <si>
    <t>Buyer</t>
  </si>
  <si>
    <t>Spend Type</t>
  </si>
  <si>
    <t>Contract Type</t>
  </si>
  <si>
    <t>Supplier Risk Score</t>
  </si>
  <si>
    <t>Payment Terms</t>
  </si>
  <si>
    <t>Invoice Status</t>
  </si>
  <si>
    <t>Lead Time (days)</t>
  </si>
  <si>
    <t>Pivot_Spend_By_Supplier</t>
  </si>
  <si>
    <t>Pivot_Spend_By_Category</t>
  </si>
  <si>
    <t>Pivot_Spend_By_Currency</t>
  </si>
  <si>
    <t>Pivot_Delivery_Status_By_Supplier</t>
  </si>
  <si>
    <t>Pivot_Defects_By_Supplier</t>
  </si>
  <si>
    <t>Pivot_Spend_Trend_Over_Time</t>
  </si>
  <si>
    <t>Pivot_Risk_vs_Spend</t>
  </si>
  <si>
    <t>Supplier Performance &amp; Spend Dashboard – 2025</t>
  </si>
  <si>
    <t>Monitoring supplier risk, delivery performance, and spend across categories and currencies.</t>
  </si>
  <si>
    <t>Total Spend</t>
  </si>
  <si>
    <t>On-time Deliveries</t>
  </si>
  <si>
    <t>Count of Defective</t>
  </si>
  <si>
    <t>Purchase Orders Total</t>
  </si>
  <si>
    <t>Delayed Deliveries</t>
  </si>
  <si>
    <t>% Defective</t>
  </si>
  <si>
    <t>Average Lead Time (days)</t>
  </si>
  <si>
    <t>% On-time Deliveries</t>
  </si>
  <si>
    <t>Spend with High-Risk Suppliers (&gt;4)</t>
  </si>
  <si>
    <t>&lt;&lt; Chart: Spend by Supplier &gt;&gt;</t>
  </si>
  <si>
    <t>&lt;&lt; Chart: Spend by Category &gt;&gt;</t>
  </si>
  <si>
    <t>&lt;&lt; Chart: Spend by Currency &gt;&gt;</t>
  </si>
  <si>
    <t>&lt;&lt; Chart: Delivery Status by Supplier &gt;&gt;</t>
  </si>
  <si>
    <t>&lt;&lt; Chart: Defects by Supplier &gt;&gt;</t>
  </si>
  <si>
    <t>&lt;&lt; Chart: Spend Trend Over Time &gt;&gt;</t>
  </si>
  <si>
    <t>&lt;&lt; Chart: Supplier Risk vs Spend &gt;&gt;</t>
  </si>
  <si>
    <t>Test: Total Spend Reconciliation</t>
  </si>
  <si>
    <t>SUM(SpendDataTbl[Amount])</t>
  </si>
  <si>
    <t>Pivot Total (manually input)</t>
  </si>
  <si>
    <t>PASS/FAIL</t>
  </si>
  <si>
    <t>Test: Delivery Status Counts</t>
  </si>
  <si>
    <t>On-time</t>
  </si>
  <si>
    <t>Late</t>
  </si>
  <si>
    <t>Test: Defects Count</t>
  </si>
  <si>
    <t>Defective (Yes)</t>
  </si>
  <si>
    <t>Note:</t>
  </si>
  <si>
    <t>Use these tests to validate that KPI formulas match pivot table outputs. Update PivotTables and refresh all data after pasting new SpendData.</t>
  </si>
  <si>
    <t>MoveFast Logistics</t>
  </si>
  <si>
    <t>Logistics</t>
  </si>
  <si>
    <t>EUR</t>
  </si>
  <si>
    <t>PO0001</t>
  </si>
  <si>
    <t>No</t>
  </si>
  <si>
    <t>Sarah Malik</t>
  </si>
  <si>
    <t>CAPEX</t>
  </si>
  <si>
    <t>Fixed</t>
  </si>
  <si>
    <t>Overdue</t>
  </si>
  <si>
    <t>BrightPath Training</t>
  </si>
  <si>
    <t>Pantry Supplies</t>
  </si>
  <si>
    <t>GBP</t>
  </si>
  <si>
    <t>PO0002</t>
  </si>
  <si>
    <t>Emily Carter</t>
  </si>
  <si>
    <t>OPEX</t>
  </si>
  <si>
    <t>Retainer</t>
  </si>
  <si>
    <t>FreshBrew Coffee</t>
  </si>
  <si>
    <t>IT Security</t>
  </si>
  <si>
    <t>PO0003</t>
  </si>
  <si>
    <t>Yes</t>
  </si>
  <si>
    <t>Paid</t>
  </si>
  <si>
    <t>EcoClean Waste Mgmt</t>
  </si>
  <si>
    <t>Printing</t>
  </si>
  <si>
    <t>USD</t>
  </si>
  <si>
    <t>PO0004</t>
  </si>
  <si>
    <t>Variable</t>
  </si>
  <si>
    <t>Landscaping</t>
  </si>
  <si>
    <t>PO0005</t>
  </si>
  <si>
    <t>Michael Turner</t>
  </si>
  <si>
    <t>CleanMax Services</t>
  </si>
  <si>
    <t>Office Supplies</t>
  </si>
  <si>
    <t>PO0006</t>
  </si>
  <si>
    <t>PO0007</t>
  </si>
  <si>
    <t>James Nolan</t>
  </si>
  <si>
    <t>TechSource Ltd</t>
  </si>
  <si>
    <t>Cleaning Services</t>
  </si>
  <si>
    <t>PO0008</t>
  </si>
  <si>
    <t>Daniel Reed</t>
  </si>
  <si>
    <t>PO0009</t>
  </si>
  <si>
    <t>NorthStar Transport</t>
  </si>
  <si>
    <t>PO0010</t>
  </si>
  <si>
    <t>Olivia Brooks</t>
  </si>
  <si>
    <t>Pending</t>
  </si>
  <si>
    <t>GreenLeaf Landscaping</t>
  </si>
  <si>
    <t>Consulting</t>
  </si>
  <si>
    <t>PO0011</t>
  </si>
  <si>
    <t>PrintWorks Ltd</t>
  </si>
  <si>
    <t>Training</t>
  </si>
  <si>
    <t>PO0012</t>
  </si>
  <si>
    <t>PO0013</t>
  </si>
  <si>
    <t>SecureIT Cyber</t>
  </si>
  <si>
    <t>PO0014</t>
  </si>
  <si>
    <t>PO0015</t>
  </si>
  <si>
    <t>PO0016</t>
  </si>
  <si>
    <t>PO0017</t>
  </si>
  <si>
    <t>PO0018</t>
  </si>
  <si>
    <t>PO0019</t>
  </si>
  <si>
    <t>PO0020</t>
  </si>
  <si>
    <t>OfficePro Supplies</t>
  </si>
  <si>
    <t>PO0021</t>
  </si>
  <si>
    <t>PO0022</t>
  </si>
  <si>
    <t>PO0023</t>
  </si>
  <si>
    <t>PO0024</t>
  </si>
  <si>
    <t>IT Equipment</t>
  </si>
  <si>
    <t>PO0025</t>
  </si>
  <si>
    <t>Apex Consulting</t>
  </si>
  <si>
    <t>PO0026</t>
  </si>
  <si>
    <t>PO0027</t>
  </si>
  <si>
    <t>PO0028</t>
  </si>
  <si>
    <t>PO0029</t>
  </si>
  <si>
    <t>PO0030</t>
  </si>
  <si>
    <t>PO0031</t>
  </si>
  <si>
    <t>PO0032</t>
  </si>
  <si>
    <t>PO0033</t>
  </si>
  <si>
    <t>PO0034</t>
  </si>
  <si>
    <t>PO0035</t>
  </si>
  <si>
    <t>PO0036</t>
  </si>
  <si>
    <t>PO0037</t>
  </si>
  <si>
    <t>PO0038</t>
  </si>
  <si>
    <t>PO0039</t>
  </si>
  <si>
    <t>PO0040</t>
  </si>
  <si>
    <t>PO0041</t>
  </si>
  <si>
    <t>PO0042</t>
  </si>
  <si>
    <t>PO0043</t>
  </si>
  <si>
    <t>PO0044</t>
  </si>
  <si>
    <t>PO0045</t>
  </si>
  <si>
    <t>PO0046</t>
  </si>
  <si>
    <t>PO0047</t>
  </si>
  <si>
    <t>PO0048</t>
  </si>
  <si>
    <t>PO0049</t>
  </si>
  <si>
    <t>PO0050</t>
  </si>
  <si>
    <t>PO0051</t>
  </si>
  <si>
    <t>PO0052</t>
  </si>
  <si>
    <t>PO0053</t>
  </si>
  <si>
    <t>PO0054</t>
  </si>
  <si>
    <t>PO0055</t>
  </si>
  <si>
    <t>PO0056</t>
  </si>
  <si>
    <t>PO0057</t>
  </si>
  <si>
    <t>PO0058</t>
  </si>
  <si>
    <t>PO0059</t>
  </si>
  <si>
    <t>PO0060</t>
  </si>
  <si>
    <t>PO0061</t>
  </si>
  <si>
    <t>PO0062</t>
  </si>
  <si>
    <t>PO0063</t>
  </si>
  <si>
    <t>PO0064</t>
  </si>
  <si>
    <t>PO0065</t>
  </si>
  <si>
    <t>PO0066</t>
  </si>
  <si>
    <t>PO0067</t>
  </si>
  <si>
    <t>PO0068</t>
  </si>
  <si>
    <t>PO0069</t>
  </si>
  <si>
    <t>PO0070</t>
  </si>
  <si>
    <t>PO0071</t>
  </si>
  <si>
    <t>PO0072</t>
  </si>
  <si>
    <t>PO0073</t>
  </si>
  <si>
    <t>PO0074</t>
  </si>
  <si>
    <t>PO0075</t>
  </si>
  <si>
    <t>PO0076</t>
  </si>
  <si>
    <t>PO0077</t>
  </si>
  <si>
    <t>PO0078</t>
  </si>
  <si>
    <t>PO0079</t>
  </si>
  <si>
    <t>PO0080</t>
  </si>
  <si>
    <t>PO0081</t>
  </si>
  <si>
    <t>PO0082</t>
  </si>
  <si>
    <t>PO0083</t>
  </si>
  <si>
    <t>PO0084</t>
  </si>
  <si>
    <t>PO0085</t>
  </si>
  <si>
    <t>PO0086</t>
  </si>
  <si>
    <t>PO0087</t>
  </si>
  <si>
    <t>PO0088</t>
  </si>
  <si>
    <t>PO0089</t>
  </si>
  <si>
    <t>PO0090</t>
  </si>
  <si>
    <t>PO0091</t>
  </si>
  <si>
    <t>PO0092</t>
  </si>
  <si>
    <t>PO0093</t>
  </si>
  <si>
    <t>PO0094</t>
  </si>
  <si>
    <t>PO0095</t>
  </si>
  <si>
    <t>PO0096</t>
  </si>
  <si>
    <t>PO0097</t>
  </si>
  <si>
    <t>PO0098</t>
  </si>
  <si>
    <t>PO0099</t>
  </si>
  <si>
    <t>PO0100</t>
  </si>
  <si>
    <t>PO0101</t>
  </si>
  <si>
    <t>PO0102</t>
  </si>
  <si>
    <t>PO0103</t>
  </si>
  <si>
    <t>PO0104</t>
  </si>
  <si>
    <t>PO0105</t>
  </si>
  <si>
    <t>PO0106</t>
  </si>
  <si>
    <t>PO0107</t>
  </si>
  <si>
    <t>PO0108</t>
  </si>
  <si>
    <t>PO0109</t>
  </si>
  <si>
    <t>PO0110</t>
  </si>
  <si>
    <t>PO0111</t>
  </si>
  <si>
    <t>PO0112</t>
  </si>
  <si>
    <t>PO0113</t>
  </si>
  <si>
    <t>PO0114</t>
  </si>
  <si>
    <t>PO0115</t>
  </si>
  <si>
    <t>PO0116</t>
  </si>
  <si>
    <t>PO0117</t>
  </si>
  <si>
    <t>PO0118</t>
  </si>
  <si>
    <t>PO0119</t>
  </si>
  <si>
    <t>PO0120</t>
  </si>
  <si>
    <t>PO0121</t>
  </si>
  <si>
    <t>PO0122</t>
  </si>
  <si>
    <t>PO0123</t>
  </si>
  <si>
    <t>PO0124</t>
  </si>
  <si>
    <t>PO0125</t>
  </si>
  <si>
    <t>PO0126</t>
  </si>
  <si>
    <t>PO0127</t>
  </si>
  <si>
    <t>PO0128</t>
  </si>
  <si>
    <t>PO0129</t>
  </si>
  <si>
    <t>PO0130</t>
  </si>
  <si>
    <t>PO0131</t>
  </si>
  <si>
    <t>PO0132</t>
  </si>
  <si>
    <t>PO0133</t>
  </si>
  <si>
    <t>PO0134</t>
  </si>
  <si>
    <t>PO0135</t>
  </si>
  <si>
    <t>PO0136</t>
  </si>
  <si>
    <t>PO0137</t>
  </si>
  <si>
    <t>PO0138</t>
  </si>
  <si>
    <t>PO0139</t>
  </si>
  <si>
    <t>PO0140</t>
  </si>
  <si>
    <t>PO0141</t>
  </si>
  <si>
    <t>PO0142</t>
  </si>
  <si>
    <t>PO0143</t>
  </si>
  <si>
    <t>PO0144</t>
  </si>
  <si>
    <t>PO0145</t>
  </si>
  <si>
    <t>PO0146</t>
  </si>
  <si>
    <t>PO0147</t>
  </si>
  <si>
    <t>PO0148</t>
  </si>
  <si>
    <t>PO0149</t>
  </si>
  <si>
    <t>PO0150</t>
  </si>
  <si>
    <t>PO0151</t>
  </si>
  <si>
    <t>PO0152</t>
  </si>
  <si>
    <t>PO0153</t>
  </si>
  <si>
    <t>PO0154</t>
  </si>
  <si>
    <t>PO0155</t>
  </si>
  <si>
    <t>PO0156</t>
  </si>
  <si>
    <t>PO0157</t>
  </si>
  <si>
    <t>PO0158</t>
  </si>
  <si>
    <t>PO0159</t>
  </si>
  <si>
    <t>PO0160</t>
  </si>
  <si>
    <t>PO0161</t>
  </si>
  <si>
    <t>PO0162</t>
  </si>
  <si>
    <t>PO0163</t>
  </si>
  <si>
    <t>PO0164</t>
  </si>
  <si>
    <t>PO0165</t>
  </si>
  <si>
    <t>PO0166</t>
  </si>
  <si>
    <t>PO0167</t>
  </si>
  <si>
    <t>PO0168</t>
  </si>
  <si>
    <t>PO0169</t>
  </si>
  <si>
    <t>PO0170</t>
  </si>
  <si>
    <t>PO0171</t>
  </si>
  <si>
    <t>PO0172</t>
  </si>
  <si>
    <t>PO0173</t>
  </si>
  <si>
    <t>PO0174</t>
  </si>
  <si>
    <t>PO0175</t>
  </si>
  <si>
    <t>PO0176</t>
  </si>
  <si>
    <t>PO0177</t>
  </si>
  <si>
    <t>PO0178</t>
  </si>
  <si>
    <t>PO0179</t>
  </si>
  <si>
    <t>PO0180</t>
  </si>
  <si>
    <t>PO0181</t>
  </si>
  <si>
    <t>PO0182</t>
  </si>
  <si>
    <t>PO0183</t>
  </si>
  <si>
    <t>PO0184</t>
  </si>
  <si>
    <t>PO0185</t>
  </si>
  <si>
    <t>PO0186</t>
  </si>
  <si>
    <t>PO0187</t>
  </si>
  <si>
    <t>PO0188</t>
  </si>
  <si>
    <t>PO0189</t>
  </si>
  <si>
    <t>PO0190</t>
  </si>
  <si>
    <t>PO0191</t>
  </si>
  <si>
    <t>PO0192</t>
  </si>
  <si>
    <t>PO0193</t>
  </si>
  <si>
    <t>PO0194</t>
  </si>
  <si>
    <t>PO0195</t>
  </si>
  <si>
    <t>PO0196</t>
  </si>
  <si>
    <t>PO0197</t>
  </si>
  <si>
    <t>PO0198</t>
  </si>
  <si>
    <t>PO0199</t>
  </si>
  <si>
    <t>PO0200</t>
  </si>
  <si>
    <t>PO0201</t>
  </si>
  <si>
    <t>PO0202</t>
  </si>
  <si>
    <t>PO0203</t>
  </si>
  <si>
    <t>PO0204</t>
  </si>
  <si>
    <t>PO0205</t>
  </si>
  <si>
    <t>PO0206</t>
  </si>
  <si>
    <t>PO0207</t>
  </si>
  <si>
    <t>PO0208</t>
  </si>
  <si>
    <t>PO0209</t>
  </si>
  <si>
    <t>PO0210</t>
  </si>
  <si>
    <t>PO0211</t>
  </si>
  <si>
    <t>PO0212</t>
  </si>
  <si>
    <t>PO0213</t>
  </si>
  <si>
    <t>PO0214</t>
  </si>
  <si>
    <t>PO0215</t>
  </si>
  <si>
    <t>PO0216</t>
  </si>
  <si>
    <t>PO0217</t>
  </si>
  <si>
    <t>PO0218</t>
  </si>
  <si>
    <t>PO0219</t>
  </si>
  <si>
    <t>PO0220</t>
  </si>
  <si>
    <t>PO0221</t>
  </si>
  <si>
    <t>PO0222</t>
  </si>
  <si>
    <t>PO0223</t>
  </si>
  <si>
    <t>PO0224</t>
  </si>
  <si>
    <t>PO0225</t>
  </si>
  <si>
    <t>PO0226</t>
  </si>
  <si>
    <t>PO0227</t>
  </si>
  <si>
    <t>PO0228</t>
  </si>
  <si>
    <t>PO0229</t>
  </si>
  <si>
    <t>PO0230</t>
  </si>
  <si>
    <t>PO0231</t>
  </si>
  <si>
    <t>PO0232</t>
  </si>
  <si>
    <t>PO0233</t>
  </si>
  <si>
    <t>PO0234</t>
  </si>
  <si>
    <t>PO0235</t>
  </si>
  <si>
    <t>PO0236</t>
  </si>
  <si>
    <t>PO0237</t>
  </si>
  <si>
    <t>PO0238</t>
  </si>
  <si>
    <t>PO0239</t>
  </si>
  <si>
    <t>PO0240</t>
  </si>
  <si>
    <t>PO0241</t>
  </si>
  <si>
    <t>PO0242</t>
  </si>
  <si>
    <t>PO0243</t>
  </si>
  <si>
    <t>PO0244</t>
  </si>
  <si>
    <t>PO0245</t>
  </si>
  <si>
    <t>PO0246</t>
  </si>
  <si>
    <t>PO0247</t>
  </si>
  <si>
    <t>PO0248</t>
  </si>
  <si>
    <t>PO0249</t>
  </si>
  <si>
    <t>PO0250</t>
  </si>
  <si>
    <t>PO0251</t>
  </si>
  <si>
    <t>PO0252</t>
  </si>
  <si>
    <t>PO0253</t>
  </si>
  <si>
    <t>PO0254</t>
  </si>
  <si>
    <t>PO0255</t>
  </si>
  <si>
    <t>PO0256</t>
  </si>
  <si>
    <t>PO0257</t>
  </si>
  <si>
    <t>PO0258</t>
  </si>
  <si>
    <t>PO0259</t>
  </si>
  <si>
    <t>PO0260</t>
  </si>
  <si>
    <t>PO0261</t>
  </si>
  <si>
    <t>PO0262</t>
  </si>
  <si>
    <t>PO0263</t>
  </si>
  <si>
    <t>PO0264</t>
  </si>
  <si>
    <t>PO0265</t>
  </si>
  <si>
    <t>PO0266</t>
  </si>
  <si>
    <t>PO0267</t>
  </si>
  <si>
    <t>PO0268</t>
  </si>
  <si>
    <t>PO0269</t>
  </si>
  <si>
    <t>PO0270</t>
  </si>
  <si>
    <t>PO0271</t>
  </si>
  <si>
    <t>PO0272</t>
  </si>
  <si>
    <t>PO0273</t>
  </si>
  <si>
    <t>PO0274</t>
  </si>
  <si>
    <t>PO0275</t>
  </si>
  <si>
    <t>PO0276</t>
  </si>
  <si>
    <t>PO0277</t>
  </si>
  <si>
    <t>PO0278</t>
  </si>
  <si>
    <t>PO0279</t>
  </si>
  <si>
    <t>PO0280</t>
  </si>
  <si>
    <t>PO0281</t>
  </si>
  <si>
    <t>PO0282</t>
  </si>
  <si>
    <t>PO0283</t>
  </si>
  <si>
    <t>PO0284</t>
  </si>
  <si>
    <t>PO0285</t>
  </si>
  <si>
    <t>PO0286</t>
  </si>
  <si>
    <t>PO0287</t>
  </si>
  <si>
    <t>PO0288</t>
  </si>
  <si>
    <t>PO0289</t>
  </si>
  <si>
    <t>PO0290</t>
  </si>
  <si>
    <t>PO0291</t>
  </si>
  <si>
    <t>PO0292</t>
  </si>
  <si>
    <t>PO0293</t>
  </si>
  <si>
    <t>PO0294</t>
  </si>
  <si>
    <t>PO0295</t>
  </si>
  <si>
    <t>PO0296</t>
  </si>
  <si>
    <t>PO0297</t>
  </si>
  <si>
    <t>PO0298</t>
  </si>
  <si>
    <t>PO0299</t>
  </si>
  <si>
    <t>PO0300</t>
  </si>
  <si>
    <t>PO0301</t>
  </si>
  <si>
    <t>PO0302</t>
  </si>
  <si>
    <t>PO0303</t>
  </si>
  <si>
    <t>PO0304</t>
  </si>
  <si>
    <t>PO0305</t>
  </si>
  <si>
    <t>PO0306</t>
  </si>
  <si>
    <t>PO0307</t>
  </si>
  <si>
    <t>PO0308</t>
  </si>
  <si>
    <t>PO0309</t>
  </si>
  <si>
    <t>PO0310</t>
  </si>
  <si>
    <t>PO0311</t>
  </si>
  <si>
    <t>PO0312</t>
  </si>
  <si>
    <t>PO0313</t>
  </si>
  <si>
    <t>PO0314</t>
  </si>
  <si>
    <t>PO0315</t>
  </si>
  <si>
    <t>PO0316</t>
  </si>
  <si>
    <t>PO0317</t>
  </si>
  <si>
    <t>PO0318</t>
  </si>
  <si>
    <t>PO0319</t>
  </si>
  <si>
    <t>PO0320</t>
  </si>
  <si>
    <t>PO0321</t>
  </si>
  <si>
    <t>PO0322</t>
  </si>
  <si>
    <t>PO0323</t>
  </si>
  <si>
    <t>PO0324</t>
  </si>
  <si>
    <t>PO0325</t>
  </si>
  <si>
    <t>PO0326</t>
  </si>
  <si>
    <t>PO0327</t>
  </si>
  <si>
    <t>PO0328</t>
  </si>
  <si>
    <t>PO0329</t>
  </si>
  <si>
    <t>PO0330</t>
  </si>
  <si>
    <t>PO0331</t>
  </si>
  <si>
    <t>PO0332</t>
  </si>
  <si>
    <t>PO0333</t>
  </si>
  <si>
    <t>PO0334</t>
  </si>
  <si>
    <t>PO0335</t>
  </si>
  <si>
    <t>PO0336</t>
  </si>
  <si>
    <t>PO0337</t>
  </si>
  <si>
    <t>PO0338</t>
  </si>
  <si>
    <t>PO0339</t>
  </si>
  <si>
    <t>PO0340</t>
  </si>
  <si>
    <t>PO0341</t>
  </si>
  <si>
    <t>PO0342</t>
  </si>
  <si>
    <t>PO0343</t>
  </si>
  <si>
    <t>PO0344</t>
  </si>
  <si>
    <t>PO0345</t>
  </si>
  <si>
    <t>PO0346</t>
  </si>
  <si>
    <t>PO0347</t>
  </si>
  <si>
    <t>PO0348</t>
  </si>
  <si>
    <t>PO0349</t>
  </si>
  <si>
    <t>PO0350</t>
  </si>
  <si>
    <t>PO0351</t>
  </si>
  <si>
    <t>PO0352</t>
  </si>
  <si>
    <t>PO0353</t>
  </si>
  <si>
    <t>PO0354</t>
  </si>
  <si>
    <t>PO0355</t>
  </si>
  <si>
    <t>PO0356</t>
  </si>
  <si>
    <t>PO0357</t>
  </si>
  <si>
    <t>PO0358</t>
  </si>
  <si>
    <t>PO0359</t>
  </si>
  <si>
    <t>PO0360</t>
  </si>
  <si>
    <t>PO0361</t>
  </si>
  <si>
    <t>PO0362</t>
  </si>
  <si>
    <t>PO0363</t>
  </si>
  <si>
    <t>PO0364</t>
  </si>
  <si>
    <t>PO0365</t>
  </si>
  <si>
    <t>PO0366</t>
  </si>
  <si>
    <t>PO0367</t>
  </si>
  <si>
    <t>PO0368</t>
  </si>
  <si>
    <t>PO0369</t>
  </si>
  <si>
    <t>PO0370</t>
  </si>
  <si>
    <t>PO0371</t>
  </si>
  <si>
    <t>PO0372</t>
  </si>
  <si>
    <t>PO0373</t>
  </si>
  <si>
    <t>PO0374</t>
  </si>
  <si>
    <t>PO0375</t>
  </si>
  <si>
    <t>PO0376</t>
  </si>
  <si>
    <t>PO0377</t>
  </si>
  <si>
    <t>PO0378</t>
  </si>
  <si>
    <t>PO0379</t>
  </si>
  <si>
    <t>PO0380</t>
  </si>
  <si>
    <t>PO0381</t>
  </si>
  <si>
    <t>PO0382</t>
  </si>
  <si>
    <t>PO0383</t>
  </si>
  <si>
    <t>PO0384</t>
  </si>
  <si>
    <t>PO0385</t>
  </si>
  <si>
    <t>PO0386</t>
  </si>
  <si>
    <t>PO0387</t>
  </si>
  <si>
    <t>PO0388</t>
  </si>
  <si>
    <t>PO0389</t>
  </si>
  <si>
    <t>PO0390</t>
  </si>
  <si>
    <t>PO0391</t>
  </si>
  <si>
    <t>PO0392</t>
  </si>
  <si>
    <t>PO0393</t>
  </si>
  <si>
    <t>PO0394</t>
  </si>
  <si>
    <t>PO0395</t>
  </si>
  <si>
    <t>PO0396</t>
  </si>
  <si>
    <t>PO0397</t>
  </si>
  <si>
    <t>PO0398</t>
  </si>
  <si>
    <t>PO0399</t>
  </si>
  <si>
    <t>PO0400</t>
  </si>
  <si>
    <t>PO0401</t>
  </si>
  <si>
    <t>PO0402</t>
  </si>
  <si>
    <t>PO0403</t>
  </si>
  <si>
    <t>PO0404</t>
  </si>
  <si>
    <t>PO0405</t>
  </si>
  <si>
    <t>PO0406</t>
  </si>
  <si>
    <t>PO0407</t>
  </si>
  <si>
    <t>PO0408</t>
  </si>
  <si>
    <t>PO0409</t>
  </si>
  <si>
    <t>PO0410</t>
  </si>
  <si>
    <t>PO0411</t>
  </si>
  <si>
    <t>PO0412</t>
  </si>
  <si>
    <t>PO0413</t>
  </si>
  <si>
    <t>PO0414</t>
  </si>
  <si>
    <t>PO0415</t>
  </si>
  <si>
    <t>PO0416</t>
  </si>
  <si>
    <t>PO0417</t>
  </si>
  <si>
    <t>PO0418</t>
  </si>
  <si>
    <t>PO0419</t>
  </si>
  <si>
    <t>PO0420</t>
  </si>
  <si>
    <t>PO0421</t>
  </si>
  <si>
    <t>PO0422</t>
  </si>
  <si>
    <t>PO0423</t>
  </si>
  <si>
    <t>PO0424</t>
  </si>
  <si>
    <t>PO0425</t>
  </si>
  <si>
    <t>PO0426</t>
  </si>
  <si>
    <t>PO0427</t>
  </si>
  <si>
    <t>PO0428</t>
  </si>
  <si>
    <t>PO0429</t>
  </si>
  <si>
    <t>PO0430</t>
  </si>
  <si>
    <t>PO0431</t>
  </si>
  <si>
    <t>PO0432</t>
  </si>
  <si>
    <t>PO0433</t>
  </si>
  <si>
    <t>PO0434</t>
  </si>
  <si>
    <t>PO0435</t>
  </si>
  <si>
    <t>PO0436</t>
  </si>
  <si>
    <t>PO0437</t>
  </si>
  <si>
    <t>PO0438</t>
  </si>
  <si>
    <t>PO0439</t>
  </si>
  <si>
    <t>PO0440</t>
  </si>
  <si>
    <t>PO0441</t>
  </si>
  <si>
    <t>PO0442</t>
  </si>
  <si>
    <t>PO0443</t>
  </si>
  <si>
    <t>PO0444</t>
  </si>
  <si>
    <t>PO0445</t>
  </si>
  <si>
    <t>PO0446</t>
  </si>
  <si>
    <t>PO0447</t>
  </si>
  <si>
    <t>PO0448</t>
  </si>
  <si>
    <t>PO0449</t>
  </si>
  <si>
    <t>PO0450</t>
  </si>
  <si>
    <t>PO0451</t>
  </si>
  <si>
    <t>PO0452</t>
  </si>
  <si>
    <t>PO0453</t>
  </si>
  <si>
    <t>PO0454</t>
  </si>
  <si>
    <t>PO0455</t>
  </si>
  <si>
    <t>PO0456</t>
  </si>
  <si>
    <t>PO0457</t>
  </si>
  <si>
    <t>PO0458</t>
  </si>
  <si>
    <t>PO0459</t>
  </si>
  <si>
    <t>PO0460</t>
  </si>
  <si>
    <t>PO0461</t>
  </si>
  <si>
    <t>PO0462</t>
  </si>
  <si>
    <t>PO0463</t>
  </si>
  <si>
    <t>PO0464</t>
  </si>
  <si>
    <t>PO0465</t>
  </si>
  <si>
    <t>PO0466</t>
  </si>
  <si>
    <t>PO0467</t>
  </si>
  <si>
    <t>PO0468</t>
  </si>
  <si>
    <t>PO0469</t>
  </si>
  <si>
    <t>PO0470</t>
  </si>
  <si>
    <t>PO0471</t>
  </si>
  <si>
    <t>PO0472</t>
  </si>
  <si>
    <t>PO0473</t>
  </si>
  <si>
    <t>PO0474</t>
  </si>
  <si>
    <t>PO0475</t>
  </si>
  <si>
    <t>PO0476</t>
  </si>
  <si>
    <t>PO0477</t>
  </si>
  <si>
    <t>PO0478</t>
  </si>
  <si>
    <t>PO0479</t>
  </si>
  <si>
    <t>PO0480</t>
  </si>
  <si>
    <t>PO0481</t>
  </si>
  <si>
    <t>PO0482</t>
  </si>
  <si>
    <t>PO0483</t>
  </si>
  <si>
    <t>PO0484</t>
  </si>
  <si>
    <t>PO0485</t>
  </si>
  <si>
    <t>PO0486</t>
  </si>
  <si>
    <t>PO0487</t>
  </si>
  <si>
    <t>PO0488</t>
  </si>
  <si>
    <t>PO0489</t>
  </si>
  <si>
    <t>PO0490</t>
  </si>
  <si>
    <t>PO0491</t>
  </si>
  <si>
    <t>PO0492</t>
  </si>
  <si>
    <t>PO0493</t>
  </si>
  <si>
    <t>PO0494</t>
  </si>
  <si>
    <t>PO0495</t>
  </si>
  <si>
    <t>PO0496</t>
  </si>
  <si>
    <t>PO0497</t>
  </si>
  <si>
    <t>PO0498</t>
  </si>
  <si>
    <t>PO0499</t>
  </si>
  <si>
    <t>PO0500</t>
  </si>
  <si>
    <t>PO0501</t>
  </si>
  <si>
    <t>PO0502</t>
  </si>
  <si>
    <t>PO0503</t>
  </si>
  <si>
    <t>PO0504</t>
  </si>
  <si>
    <t>PO0505</t>
  </si>
  <si>
    <t>PO0506</t>
  </si>
  <si>
    <t>PO0507</t>
  </si>
  <si>
    <t>PO0508</t>
  </si>
  <si>
    <t>PO0509</t>
  </si>
  <si>
    <t>PO0510</t>
  </si>
  <si>
    <t>PO0511</t>
  </si>
  <si>
    <t>PO0512</t>
  </si>
  <si>
    <t>PO0513</t>
  </si>
  <si>
    <t>PO0514</t>
  </si>
  <si>
    <t>PO0515</t>
  </si>
  <si>
    <t>PO0516</t>
  </si>
  <si>
    <t>PO0517</t>
  </si>
  <si>
    <t>PO0518</t>
  </si>
  <si>
    <t>PO0519</t>
  </si>
  <si>
    <t>PO0520</t>
  </si>
  <si>
    <t>PO0521</t>
  </si>
  <si>
    <t>PO0522</t>
  </si>
  <si>
    <t>PO0523</t>
  </si>
  <si>
    <t>PO0524</t>
  </si>
  <si>
    <t>PO0525</t>
  </si>
  <si>
    <t>PO0526</t>
  </si>
  <si>
    <t>PO0527</t>
  </si>
  <si>
    <t>PO0528</t>
  </si>
  <si>
    <t>PO0529</t>
  </si>
  <si>
    <t>PO0530</t>
  </si>
  <si>
    <t>PO0531</t>
  </si>
  <si>
    <t>PO0532</t>
  </si>
  <si>
    <t>PO0533</t>
  </si>
  <si>
    <t>PO0534</t>
  </si>
  <si>
    <t>PO0535</t>
  </si>
  <si>
    <t>PO0536</t>
  </si>
  <si>
    <t>PO0537</t>
  </si>
  <si>
    <t>PO0538</t>
  </si>
  <si>
    <t>PO0539</t>
  </si>
  <si>
    <t>PO0540</t>
  </si>
  <si>
    <t>PO0541</t>
  </si>
  <si>
    <t>PO0542</t>
  </si>
  <si>
    <t>PO0543</t>
  </si>
  <si>
    <t>PO0544</t>
  </si>
  <si>
    <t>PO0545</t>
  </si>
  <si>
    <t>PO0546</t>
  </si>
  <si>
    <t>PO0547</t>
  </si>
  <si>
    <t>PO0548</t>
  </si>
  <si>
    <t>PO0549</t>
  </si>
  <si>
    <t>PO0550</t>
  </si>
  <si>
    <t>PO0551</t>
  </si>
  <si>
    <t>PO0552</t>
  </si>
  <si>
    <t>PO0553</t>
  </si>
  <si>
    <t>PO0554</t>
  </si>
  <si>
    <t>PO0555</t>
  </si>
  <si>
    <t>PO0556</t>
  </si>
  <si>
    <t>PO0557</t>
  </si>
  <si>
    <t>PO0558</t>
  </si>
  <si>
    <t>PO0559</t>
  </si>
  <si>
    <t>PO0560</t>
  </si>
  <si>
    <t>PO0561</t>
  </si>
  <si>
    <t>PO0562</t>
  </si>
  <si>
    <t>PO0563</t>
  </si>
  <si>
    <t>PO0564</t>
  </si>
  <si>
    <t>PO0565</t>
  </si>
  <si>
    <t>PO0566</t>
  </si>
  <si>
    <t>PO0567</t>
  </si>
  <si>
    <t>PO0568</t>
  </si>
  <si>
    <t>PO0569</t>
  </si>
  <si>
    <t>PO0570</t>
  </si>
  <si>
    <t>PO0571</t>
  </si>
  <si>
    <t>PO0572</t>
  </si>
  <si>
    <t>PO0573</t>
  </si>
  <si>
    <t>PO0574</t>
  </si>
  <si>
    <t>PO0575</t>
  </si>
  <si>
    <t>PO0576</t>
  </si>
  <si>
    <t>PO0577</t>
  </si>
  <si>
    <t>PO0578</t>
  </si>
  <si>
    <t>PO0579</t>
  </si>
  <si>
    <t>PO0580</t>
  </si>
  <si>
    <t>PO0581</t>
  </si>
  <si>
    <t>PO0582</t>
  </si>
  <si>
    <t>PO0583</t>
  </si>
  <si>
    <t>PO0584</t>
  </si>
  <si>
    <t>PO0585</t>
  </si>
  <si>
    <t>PO0586</t>
  </si>
  <si>
    <t>PO0587</t>
  </si>
  <si>
    <t>PO0588</t>
  </si>
  <si>
    <t>PO0589</t>
  </si>
  <si>
    <t>PO0590</t>
  </si>
  <si>
    <t>PO0591</t>
  </si>
  <si>
    <t>PO0592</t>
  </si>
  <si>
    <t>PO0593</t>
  </si>
  <si>
    <t>PO0594</t>
  </si>
  <si>
    <t>PO0595</t>
  </si>
  <si>
    <t>PO0596</t>
  </si>
  <si>
    <t>PO0597</t>
  </si>
  <si>
    <t>PO0598</t>
  </si>
  <si>
    <t>PO0599</t>
  </si>
  <si>
    <t>PO0600</t>
  </si>
  <si>
    <t>PO0601</t>
  </si>
  <si>
    <t>PO0602</t>
  </si>
  <si>
    <t>PO0603</t>
  </si>
  <si>
    <t>PO0604</t>
  </si>
  <si>
    <t>PO0605</t>
  </si>
  <si>
    <t>PO0606</t>
  </si>
  <si>
    <t>PO0607</t>
  </si>
  <si>
    <t>PO0608</t>
  </si>
  <si>
    <t>PO0609</t>
  </si>
  <si>
    <t>PO0610</t>
  </si>
  <si>
    <t>PO0611</t>
  </si>
  <si>
    <t>PO0612</t>
  </si>
  <si>
    <t>PO0613</t>
  </si>
  <si>
    <t>PO0614</t>
  </si>
  <si>
    <t>PO0615</t>
  </si>
  <si>
    <t>PO0616</t>
  </si>
  <si>
    <t>PO0617</t>
  </si>
  <si>
    <t>PO0618</t>
  </si>
  <si>
    <t>PO0619</t>
  </si>
  <si>
    <t>PO0620</t>
  </si>
  <si>
    <t>PO0621</t>
  </si>
  <si>
    <t>PO0622</t>
  </si>
  <si>
    <t>PO0623</t>
  </si>
  <si>
    <t>PO0624</t>
  </si>
  <si>
    <t>PO0625</t>
  </si>
  <si>
    <t>PO0626</t>
  </si>
  <si>
    <t>PO0627</t>
  </si>
  <si>
    <t>PO0628</t>
  </si>
  <si>
    <t>PO0629</t>
  </si>
  <si>
    <t>PO0630</t>
  </si>
  <si>
    <t>PO0631</t>
  </si>
  <si>
    <t>PO0632</t>
  </si>
  <si>
    <t>PO0633</t>
  </si>
  <si>
    <t>PO0634</t>
  </si>
  <si>
    <t>PO0635</t>
  </si>
  <si>
    <t>PO0636</t>
  </si>
  <si>
    <t>PO0637</t>
  </si>
  <si>
    <t>PO0638</t>
  </si>
  <si>
    <t>PO0639</t>
  </si>
  <si>
    <t>PO0640</t>
  </si>
  <si>
    <t>PO0641</t>
  </si>
  <si>
    <t>PO0642</t>
  </si>
  <si>
    <t>PO0643</t>
  </si>
  <si>
    <t>PO0644</t>
  </si>
  <si>
    <t>PO0645</t>
  </si>
  <si>
    <t>PO0646</t>
  </si>
  <si>
    <t>PO0647</t>
  </si>
  <si>
    <t>PO0648</t>
  </si>
  <si>
    <t>PO0649</t>
  </si>
  <si>
    <t>PO0650</t>
  </si>
  <si>
    <t>PO0651</t>
  </si>
  <si>
    <t>PO0652</t>
  </si>
  <si>
    <t>PO0653</t>
  </si>
  <si>
    <t>PO0654</t>
  </si>
  <si>
    <t>PO0655</t>
  </si>
  <si>
    <t>PO0656</t>
  </si>
  <si>
    <t>PO0657</t>
  </si>
  <si>
    <t>PO0658</t>
  </si>
  <si>
    <t>PO0659</t>
  </si>
  <si>
    <t>PO0660</t>
  </si>
  <si>
    <t>PO0661</t>
  </si>
  <si>
    <t>PO0662</t>
  </si>
  <si>
    <t>PO0663</t>
  </si>
  <si>
    <t>PO0664</t>
  </si>
  <si>
    <t>PO0665</t>
  </si>
  <si>
    <t>PO0666</t>
  </si>
  <si>
    <t>PO0667</t>
  </si>
  <si>
    <t>PO0668</t>
  </si>
  <si>
    <t>PO0669</t>
  </si>
  <si>
    <t>PO0670</t>
  </si>
  <si>
    <t>PO0671</t>
  </si>
  <si>
    <t>PO0672</t>
  </si>
  <si>
    <t>PO0673</t>
  </si>
  <si>
    <t>PO0674</t>
  </si>
  <si>
    <t>PO0675</t>
  </si>
  <si>
    <t>PO0676</t>
  </si>
  <si>
    <t>PO0677</t>
  </si>
  <si>
    <t>PO0678</t>
  </si>
  <si>
    <t>PO0679</t>
  </si>
  <si>
    <t>PO0680</t>
  </si>
  <si>
    <t>PO0681</t>
  </si>
  <si>
    <t>PO0682</t>
  </si>
  <si>
    <t>PO0683</t>
  </si>
  <si>
    <t>PO0684</t>
  </si>
  <si>
    <t>PO0685</t>
  </si>
  <si>
    <t>PO0686</t>
  </si>
  <si>
    <t>PO0687</t>
  </si>
  <si>
    <t>PO0688</t>
  </si>
  <si>
    <t>PO0689</t>
  </si>
  <si>
    <t>PO0690</t>
  </si>
  <si>
    <t>PO0691</t>
  </si>
  <si>
    <t>PO0692</t>
  </si>
  <si>
    <t>PO0693</t>
  </si>
  <si>
    <t>PO0694</t>
  </si>
  <si>
    <t>PO0695</t>
  </si>
  <si>
    <t>PO0696</t>
  </si>
  <si>
    <t>PO0697</t>
  </si>
  <si>
    <t>PO0698</t>
  </si>
  <si>
    <t>PO0699</t>
  </si>
  <si>
    <t>PO0700</t>
  </si>
  <si>
    <t>PO0701</t>
  </si>
  <si>
    <t>PO0702</t>
  </si>
  <si>
    <t>PO0703</t>
  </si>
  <si>
    <t>PO0704</t>
  </si>
  <si>
    <t>PO0705</t>
  </si>
  <si>
    <t>PO0706</t>
  </si>
  <si>
    <t>PO0707</t>
  </si>
  <si>
    <t>PO0708</t>
  </si>
  <si>
    <t>PO0709</t>
  </si>
  <si>
    <t>PO0710</t>
  </si>
  <si>
    <t>PO0711</t>
  </si>
  <si>
    <t>PO0712</t>
  </si>
  <si>
    <t>PO0713</t>
  </si>
  <si>
    <t>PO0714</t>
  </si>
  <si>
    <t>PO0715</t>
  </si>
  <si>
    <t>PO0716</t>
  </si>
  <si>
    <t>PO0717</t>
  </si>
  <si>
    <t>PO0718</t>
  </si>
  <si>
    <t>PO0719</t>
  </si>
  <si>
    <t>PO0720</t>
  </si>
  <si>
    <t>PO0721</t>
  </si>
  <si>
    <t>PO0722</t>
  </si>
  <si>
    <t>PO0723</t>
  </si>
  <si>
    <t>PO0724</t>
  </si>
  <si>
    <t>PO0725</t>
  </si>
  <si>
    <t>PO0726</t>
  </si>
  <si>
    <t>PO0727</t>
  </si>
  <si>
    <t>PO0728</t>
  </si>
  <si>
    <t>PO0729</t>
  </si>
  <si>
    <t>PO0730</t>
  </si>
  <si>
    <t>PO0731</t>
  </si>
  <si>
    <t>PO0732</t>
  </si>
  <si>
    <t>PO0733</t>
  </si>
  <si>
    <t>PO0734</t>
  </si>
  <si>
    <t>PO0735</t>
  </si>
  <si>
    <t>PO0736</t>
  </si>
  <si>
    <t>PO0737</t>
  </si>
  <si>
    <t>PO0738</t>
  </si>
  <si>
    <t>PO0739</t>
  </si>
  <si>
    <t>PO0740</t>
  </si>
  <si>
    <t>PO0741</t>
  </si>
  <si>
    <t>PO0742</t>
  </si>
  <si>
    <t>PO0743</t>
  </si>
  <si>
    <t>PO0744</t>
  </si>
  <si>
    <t>PO0745</t>
  </si>
  <si>
    <t>PO0746</t>
  </si>
  <si>
    <t>PO0747</t>
  </si>
  <si>
    <t>PO0748</t>
  </si>
  <si>
    <t>PO0749</t>
  </si>
  <si>
    <t>PO0750</t>
  </si>
  <si>
    <t>PO0751</t>
  </si>
  <si>
    <t>PO0752</t>
  </si>
  <si>
    <t>PO0753</t>
  </si>
  <si>
    <t>PO0754</t>
  </si>
  <si>
    <t>PO0755</t>
  </si>
  <si>
    <t>PO0756</t>
  </si>
  <si>
    <t>PO0757</t>
  </si>
  <si>
    <t>PO0758</t>
  </si>
  <si>
    <t>PO0759</t>
  </si>
  <si>
    <t>PO0760</t>
  </si>
  <si>
    <t>PO0761</t>
  </si>
  <si>
    <t>PO0762</t>
  </si>
  <si>
    <t>PO0763</t>
  </si>
  <si>
    <t>PO0764</t>
  </si>
  <si>
    <t>PO0765</t>
  </si>
  <si>
    <t>PO0766</t>
  </si>
  <si>
    <t>PO0767</t>
  </si>
  <si>
    <t>PO0768</t>
  </si>
  <si>
    <t>PO0769</t>
  </si>
  <si>
    <t>PO0770</t>
  </si>
  <si>
    <t>PO0771</t>
  </si>
  <si>
    <t>PO0772</t>
  </si>
  <si>
    <t>PO0773</t>
  </si>
  <si>
    <t>PO0774</t>
  </si>
  <si>
    <t>PO0775</t>
  </si>
  <si>
    <t>PO0776</t>
  </si>
  <si>
    <t>PO0777</t>
  </si>
  <si>
    <t>PO0778</t>
  </si>
  <si>
    <t>PO0779</t>
  </si>
  <si>
    <t>PO0780</t>
  </si>
  <si>
    <t>PO0781</t>
  </si>
  <si>
    <t>PO0782</t>
  </si>
  <si>
    <t>PO0783</t>
  </si>
  <si>
    <t>PO0784</t>
  </si>
  <si>
    <t>PO0785</t>
  </si>
  <si>
    <t>PO0786</t>
  </si>
  <si>
    <t>PO0787</t>
  </si>
  <si>
    <t>PO0788</t>
  </si>
  <si>
    <t>PO0789</t>
  </si>
  <si>
    <t>PO0790</t>
  </si>
  <si>
    <t>PO0791</t>
  </si>
  <si>
    <t>PO0792</t>
  </si>
  <si>
    <t>PO0793</t>
  </si>
  <si>
    <t>PO0794</t>
  </si>
  <si>
    <t>PO0795</t>
  </si>
  <si>
    <t>PO0796</t>
  </si>
  <si>
    <t>PO0797</t>
  </si>
  <si>
    <t>PO0798</t>
  </si>
  <si>
    <t>PO0799</t>
  </si>
  <si>
    <t>PO0800</t>
  </si>
  <si>
    <t>PO0801</t>
  </si>
  <si>
    <t>PO0802</t>
  </si>
  <si>
    <t>PO0803</t>
  </si>
  <si>
    <t>PO0804</t>
  </si>
  <si>
    <t>PO0805</t>
  </si>
  <si>
    <t>PO0806</t>
  </si>
  <si>
    <t>PO0807</t>
  </si>
  <si>
    <t>PO0808</t>
  </si>
  <si>
    <t>PO0809</t>
  </si>
  <si>
    <t>PO0810</t>
  </si>
  <si>
    <t>PO0811</t>
  </si>
  <si>
    <t>PO0812</t>
  </si>
  <si>
    <t>PO0813</t>
  </si>
  <si>
    <t>PO0814</t>
  </si>
  <si>
    <t>PO0815</t>
  </si>
  <si>
    <t>PO0816</t>
  </si>
  <si>
    <t>PO0817</t>
  </si>
  <si>
    <t>PO0818</t>
  </si>
  <si>
    <t>PO0819</t>
  </si>
  <si>
    <t>PO0820</t>
  </si>
  <si>
    <t>PO0821</t>
  </si>
  <si>
    <t>PO0822</t>
  </si>
  <si>
    <t>PO0823</t>
  </si>
  <si>
    <t>PO0824</t>
  </si>
  <si>
    <t>PO0825</t>
  </si>
  <si>
    <t>PO0826</t>
  </si>
  <si>
    <t>PO0827</t>
  </si>
  <si>
    <t>PO0828</t>
  </si>
  <si>
    <t>PO0829</t>
  </si>
  <si>
    <t>PO0830</t>
  </si>
  <si>
    <t>PO0831</t>
  </si>
  <si>
    <t>PO0832</t>
  </si>
  <si>
    <t>PO0833</t>
  </si>
  <si>
    <t>PO0834</t>
  </si>
  <si>
    <t>PO0835</t>
  </si>
  <si>
    <t>PO0836</t>
  </si>
  <si>
    <t>PO0837</t>
  </si>
  <si>
    <t>PO0838</t>
  </si>
  <si>
    <t>PO0839</t>
  </si>
  <si>
    <t>PO0840</t>
  </si>
  <si>
    <t>PO0841</t>
  </si>
  <si>
    <t>PO0842</t>
  </si>
  <si>
    <t>PO0843</t>
  </si>
  <si>
    <t>PO0844</t>
  </si>
  <si>
    <t>PO0845</t>
  </si>
  <si>
    <t>PO0846</t>
  </si>
  <si>
    <t>PO0847</t>
  </si>
  <si>
    <t>PO0848</t>
  </si>
  <si>
    <t>PO0849</t>
  </si>
  <si>
    <t>PO0850</t>
  </si>
  <si>
    <t>PO0851</t>
  </si>
  <si>
    <t>PO0852</t>
  </si>
  <si>
    <t>PO0853</t>
  </si>
  <si>
    <t>PO0854</t>
  </si>
  <si>
    <t>PO0855</t>
  </si>
  <si>
    <t>PO0856</t>
  </si>
  <si>
    <t>PO0857</t>
  </si>
  <si>
    <t>PO0858</t>
  </si>
  <si>
    <t>PO0859</t>
  </si>
  <si>
    <t>PO0860</t>
  </si>
  <si>
    <t>PO0861</t>
  </si>
  <si>
    <t>PO0862</t>
  </si>
  <si>
    <t>PO0863</t>
  </si>
  <si>
    <t>PO0864</t>
  </si>
  <si>
    <t>PO0865</t>
  </si>
  <si>
    <t>PO0866</t>
  </si>
  <si>
    <t>PO0867</t>
  </si>
  <si>
    <t>PO0868</t>
  </si>
  <si>
    <t>PO0869</t>
  </si>
  <si>
    <t>PO0870</t>
  </si>
  <si>
    <t>PO0871</t>
  </si>
  <si>
    <t>PO0872</t>
  </si>
  <si>
    <t>PO0873</t>
  </si>
  <si>
    <t>PO0874</t>
  </si>
  <si>
    <t>PO0875</t>
  </si>
  <si>
    <t>PO0876</t>
  </si>
  <si>
    <t>PO0877</t>
  </si>
  <si>
    <t>PO0878</t>
  </si>
  <si>
    <t>PO0879</t>
  </si>
  <si>
    <t>PO0880</t>
  </si>
  <si>
    <t>PO0881</t>
  </si>
  <si>
    <t>PO0882</t>
  </si>
  <si>
    <t>PO0883</t>
  </si>
  <si>
    <t>PO0884</t>
  </si>
  <si>
    <t>PO0885</t>
  </si>
  <si>
    <t>PO0886</t>
  </si>
  <si>
    <t>PO0887</t>
  </si>
  <si>
    <t>PO0888</t>
  </si>
  <si>
    <t>PO0889</t>
  </si>
  <si>
    <t>PO0890</t>
  </si>
  <si>
    <t>PO0891</t>
  </si>
  <si>
    <t>PO0892</t>
  </si>
  <si>
    <t>PO0893</t>
  </si>
  <si>
    <t>PO0894</t>
  </si>
  <si>
    <t>PO0895</t>
  </si>
  <si>
    <t>PO0896</t>
  </si>
  <si>
    <t>PO0897</t>
  </si>
  <si>
    <t>PO0898</t>
  </si>
  <si>
    <t>PO0899</t>
  </si>
  <si>
    <t>PO0900</t>
  </si>
  <si>
    <t>PO0901</t>
  </si>
  <si>
    <t>PO0902</t>
  </si>
  <si>
    <t>PO0903</t>
  </si>
  <si>
    <t>PO0904</t>
  </si>
  <si>
    <t>PO0905</t>
  </si>
  <si>
    <t>PO0906</t>
  </si>
  <si>
    <t>PO0907</t>
  </si>
  <si>
    <t>PO0908</t>
  </si>
  <si>
    <t>PO0909</t>
  </si>
  <si>
    <t>PO0910</t>
  </si>
  <si>
    <t>PO0911</t>
  </si>
  <si>
    <t>PO0912</t>
  </si>
  <si>
    <t>PO0913</t>
  </si>
  <si>
    <t>PO0914</t>
  </si>
  <si>
    <t>PO0915</t>
  </si>
  <si>
    <t>PO0916</t>
  </si>
  <si>
    <t>PO0917</t>
  </si>
  <si>
    <t>PO0918</t>
  </si>
  <si>
    <t>PO0919</t>
  </si>
  <si>
    <t>PO0920</t>
  </si>
  <si>
    <t>PO0921</t>
  </si>
  <si>
    <t>PO0922</t>
  </si>
  <si>
    <t>PO0923</t>
  </si>
  <si>
    <t>PO0924</t>
  </si>
  <si>
    <t>PO0925</t>
  </si>
  <si>
    <t>PO0926</t>
  </si>
  <si>
    <t>PO0927</t>
  </si>
  <si>
    <t>PO0928</t>
  </si>
  <si>
    <t>PO0929</t>
  </si>
  <si>
    <t>PO0930</t>
  </si>
  <si>
    <t>PO0931</t>
  </si>
  <si>
    <t>PO0932</t>
  </si>
  <si>
    <t>PO0933</t>
  </si>
  <si>
    <t>PO0934</t>
  </si>
  <si>
    <t>PO0935</t>
  </si>
  <si>
    <t>PO0936</t>
  </si>
  <si>
    <t>PO0937</t>
  </si>
  <si>
    <t>PO0938</t>
  </si>
  <si>
    <t>PO0939</t>
  </si>
  <si>
    <t>PO0940</t>
  </si>
  <si>
    <t>PO0941</t>
  </si>
  <si>
    <t>PO0942</t>
  </si>
  <si>
    <t>PO0943</t>
  </si>
  <si>
    <t>PO0944</t>
  </si>
  <si>
    <t>PO0945</t>
  </si>
  <si>
    <t>PO0946</t>
  </si>
  <si>
    <t>PO0947</t>
  </si>
  <si>
    <t>PO0948</t>
  </si>
  <si>
    <t>PO0949</t>
  </si>
  <si>
    <t>PO0950</t>
  </si>
  <si>
    <t>PO0951</t>
  </si>
  <si>
    <t>PO0952</t>
  </si>
  <si>
    <t>PO0953</t>
  </si>
  <si>
    <t>PO0954</t>
  </si>
  <si>
    <t>PO0955</t>
  </si>
  <si>
    <t>PO0956</t>
  </si>
  <si>
    <t>PO0957</t>
  </si>
  <si>
    <t>PO0958</t>
  </si>
  <si>
    <t>PO0959</t>
  </si>
  <si>
    <t>PO0960</t>
  </si>
  <si>
    <t>PO0961</t>
  </si>
  <si>
    <t>PO0962</t>
  </si>
  <si>
    <t>PO0963</t>
  </si>
  <si>
    <t>PO0964</t>
  </si>
  <si>
    <t>PO0965</t>
  </si>
  <si>
    <t>PO0966</t>
  </si>
  <si>
    <t>PO0967</t>
  </si>
  <si>
    <t>PO0968</t>
  </si>
  <si>
    <t>PO0969</t>
  </si>
  <si>
    <t>PO0970</t>
  </si>
  <si>
    <t>PO0971</t>
  </si>
  <si>
    <t>PO0972</t>
  </si>
  <si>
    <t>PO0973</t>
  </si>
  <si>
    <t>PO0974</t>
  </si>
  <si>
    <t>PO0975</t>
  </si>
  <si>
    <t>PO0976</t>
  </si>
  <si>
    <t>PO0977</t>
  </si>
  <si>
    <t>PO0978</t>
  </si>
  <si>
    <t>PO0979</t>
  </si>
  <si>
    <t>PO0980</t>
  </si>
  <si>
    <t>PO0981</t>
  </si>
  <si>
    <t>PO0982</t>
  </si>
  <si>
    <t>PO0983</t>
  </si>
  <si>
    <t>PO0984</t>
  </si>
  <si>
    <t>PO0985</t>
  </si>
  <si>
    <t>PO0986</t>
  </si>
  <si>
    <t>PO0987</t>
  </si>
  <si>
    <t>PO0988</t>
  </si>
  <si>
    <t>PO0989</t>
  </si>
  <si>
    <t>PO0990</t>
  </si>
  <si>
    <t>PO0991</t>
  </si>
  <si>
    <t>PO0992</t>
  </si>
  <si>
    <t>PO0993</t>
  </si>
  <si>
    <t>PO0994</t>
  </si>
  <si>
    <t>PO0995</t>
  </si>
  <si>
    <t>PO0996</t>
  </si>
  <si>
    <t>PO0997</t>
  </si>
  <si>
    <t>PO0998</t>
  </si>
  <si>
    <t>PO0999</t>
  </si>
  <si>
    <t>PO1000</t>
  </si>
  <si>
    <t>Sum of Amount</t>
  </si>
  <si>
    <t>Row Labels</t>
  </si>
  <si>
    <t>Grand Total</t>
  </si>
  <si>
    <t>Sum of Amount2</t>
  </si>
  <si>
    <t>Jan</t>
  </si>
  <si>
    <t>Feb</t>
  </si>
  <si>
    <t>Mar</t>
  </si>
  <si>
    <t>Apr</t>
  </si>
  <si>
    <t>May</t>
  </si>
  <si>
    <t>Jun</t>
  </si>
  <si>
    <t>Jul</t>
  </si>
  <si>
    <t>Aug</t>
  </si>
  <si>
    <t>Sep</t>
  </si>
  <si>
    <t>Oct</t>
  </si>
  <si>
    <t>Nov</t>
  </si>
  <si>
    <t>Dec</t>
  </si>
  <si>
    <t>Column Labels</t>
  </si>
  <si>
    <t>Overdue invoices</t>
  </si>
  <si>
    <t>Supplier Fill Rate (%)</t>
  </si>
  <si>
    <t>Supplier Compliance Rate (%)</t>
  </si>
  <si>
    <t>Invoice Satus</t>
  </si>
  <si>
    <t>&lt;&lt; Chart: Invoice Status &gt;&gt;</t>
  </si>
  <si>
    <t>Data source</t>
  </si>
  <si>
    <r>
      <t xml:space="preserve">Dataset: </t>
    </r>
    <r>
      <rPr>
        <b/>
        <sz val="11"/>
        <color theme="1"/>
        <rFont val="Calibri"/>
        <family val="2"/>
        <scheme val="minor"/>
      </rPr>
      <t>Procurement Spend &amp; Supplier Performance (1,000 POs)</t>
    </r>
  </si>
  <si>
    <t>Origin: Manually curated dataset representing realistic ERP output (SAP/Coupa/Dynamics style)</t>
  </si>
  <si>
    <t>Structure: One row per purchase order</t>
  </si>
  <si>
    <t>Columns include: Supplier, Category, Amount, Delivery Status, Defects, Buyer, Spend Type, Contract Type, Risk Score, Payment Terms, Invoice Status, Lead Time</t>
  </si>
  <si>
    <t>Number of rows</t>
  </si>
  <si>
    <r>
      <t xml:space="preserve">Total rows: </t>
    </r>
    <r>
      <rPr>
        <b/>
        <sz val="11"/>
        <color theme="1"/>
        <rFont val="Calibri"/>
        <family val="2"/>
        <scheme val="minor"/>
      </rPr>
      <t>1,000 purchase orders</t>
    </r>
  </si>
  <si>
    <r>
      <t xml:space="preserve">Total suppliers: </t>
    </r>
    <r>
      <rPr>
        <b/>
        <sz val="11"/>
        <color theme="1"/>
        <rFont val="Calibri"/>
        <family val="2"/>
        <scheme val="minor"/>
      </rPr>
      <t>12</t>
    </r>
  </si>
  <si>
    <r>
      <t xml:space="preserve">Total categories: </t>
    </r>
    <r>
      <rPr>
        <b/>
        <sz val="11"/>
        <color theme="1"/>
        <rFont val="Calibri"/>
        <family val="2"/>
        <scheme val="minor"/>
      </rPr>
      <t>10</t>
    </r>
  </si>
  <si>
    <r>
      <t xml:space="preserve">Total buyers: </t>
    </r>
    <r>
      <rPr>
        <b/>
        <sz val="11"/>
        <color theme="1"/>
        <rFont val="Calibri"/>
        <family val="2"/>
        <scheme val="minor"/>
      </rPr>
      <t>6</t>
    </r>
  </si>
  <si>
    <t>Time period: Mixed dates (simulated)</t>
  </si>
  <si>
    <t>Refresh instructions</t>
  </si>
  <si>
    <r>
      <t xml:space="preserve">Replace or append new data inside the </t>
    </r>
    <r>
      <rPr>
        <b/>
        <sz val="11"/>
        <color theme="1"/>
        <rFont val="Calibri"/>
        <family val="2"/>
        <scheme val="minor"/>
      </rPr>
      <t>SpendDataTbl</t>
    </r>
    <r>
      <rPr>
        <sz val="11"/>
        <color theme="1"/>
        <rFont val="Calibri"/>
        <family val="2"/>
        <scheme val="minor"/>
      </rPr>
      <t xml:space="preserve"> Excel Table</t>
    </r>
  </si>
  <si>
    <t>Ensure column names remain unchanged</t>
  </si>
  <si>
    <t>After updating data:</t>
  </si>
  <si>
    <r>
      <t xml:space="preserve">Go to </t>
    </r>
    <r>
      <rPr>
        <b/>
        <sz val="11"/>
        <color theme="1"/>
        <rFont val="Calibri"/>
        <family val="2"/>
        <scheme val="minor"/>
      </rPr>
      <t>Data → Refresh All</t>
    </r>
  </si>
  <si>
    <t>PivotTables, KPI cards, and charts will update automatically</t>
  </si>
  <si>
    <t>If adding new columns:</t>
  </si>
  <si>
    <r>
      <t xml:space="preserve">Add them </t>
    </r>
    <r>
      <rPr>
        <i/>
        <sz val="11"/>
        <color theme="1"/>
        <rFont val="Calibri"/>
        <family val="2"/>
        <scheme val="minor"/>
      </rPr>
      <t>inside</t>
    </r>
    <r>
      <rPr>
        <sz val="11"/>
        <color theme="1"/>
        <rFont val="Calibri"/>
        <family val="2"/>
        <scheme val="minor"/>
      </rPr>
      <t xml:space="preserve"> the table so formulas and pivots expand</t>
    </r>
  </si>
  <si>
    <t>If adding new suppliers/categories:</t>
  </si>
  <si>
    <t>Slicers will update automatically after refresh</t>
  </si>
  <si>
    <t>KPI logic summary</t>
  </si>
  <si>
    <t>These are the formulas behind the dashboard metrics:</t>
  </si>
  <si>
    <r>
      <t>Total Spend</t>
    </r>
    <r>
      <rPr>
        <sz val="11"/>
        <color theme="1"/>
        <rFont val="Calibri"/>
        <family val="2"/>
        <scheme val="minor"/>
      </rPr>
      <t xml:space="preserve"> </t>
    </r>
    <r>
      <rPr>
        <sz val="10"/>
        <color theme="1"/>
        <rFont val="Arial Unicode MS"/>
      </rPr>
      <t>=SUM(SpendDataTbl[Amount])</t>
    </r>
  </si>
  <si>
    <r>
      <t>Purchase Orders Total</t>
    </r>
    <r>
      <rPr>
        <sz val="11"/>
        <color theme="1"/>
        <rFont val="Calibri"/>
        <family val="2"/>
        <scheme val="minor"/>
      </rPr>
      <t xml:space="preserve"> </t>
    </r>
    <r>
      <rPr>
        <sz val="10"/>
        <color theme="1"/>
        <rFont val="Arial Unicode MS"/>
      </rPr>
      <t>=COUNTA(SpendDataTbl[PO Number])</t>
    </r>
  </si>
  <si>
    <r>
      <t>On‑Time Deliveries</t>
    </r>
    <r>
      <rPr>
        <sz val="11"/>
        <color theme="1"/>
        <rFont val="Calibri"/>
        <family val="2"/>
        <scheme val="minor"/>
      </rPr>
      <t xml:space="preserve"> </t>
    </r>
    <r>
      <rPr>
        <sz val="10"/>
        <color theme="1"/>
        <rFont val="Arial Unicode MS"/>
      </rPr>
      <t>=COUNTIFS(SpendDataTbl[Delivery Status],"On-time")</t>
    </r>
  </si>
  <si>
    <r>
      <t>Delayed Deliveries</t>
    </r>
    <r>
      <rPr>
        <sz val="11"/>
        <color theme="1"/>
        <rFont val="Calibri"/>
        <family val="2"/>
        <scheme val="minor"/>
      </rPr>
      <t xml:space="preserve"> </t>
    </r>
    <r>
      <rPr>
        <sz val="10"/>
        <color theme="1"/>
        <rFont val="Arial Unicode MS"/>
      </rPr>
      <t>=COUNTIFS(SpendDataTbl[Delivery Status],"Late")</t>
    </r>
  </si>
  <si>
    <r>
      <t>On‑Time Delivery %</t>
    </r>
    <r>
      <rPr>
        <sz val="11"/>
        <color theme="1"/>
        <rFont val="Calibri"/>
        <family val="2"/>
        <scheme val="minor"/>
      </rPr>
      <t xml:space="preserve"> </t>
    </r>
    <r>
      <rPr>
        <sz val="10"/>
        <color theme="1"/>
        <rFont val="Arial Unicode MS"/>
      </rPr>
      <t>=OnTime / TotalPOs</t>
    </r>
  </si>
  <si>
    <r>
      <t>Count of Defective</t>
    </r>
    <r>
      <rPr>
        <sz val="11"/>
        <color theme="1"/>
        <rFont val="Calibri"/>
        <family val="2"/>
        <scheme val="minor"/>
      </rPr>
      <t xml:space="preserve"> </t>
    </r>
    <r>
      <rPr>
        <sz val="10"/>
        <color theme="1"/>
        <rFont val="Arial Unicode MS"/>
      </rPr>
      <t>=COUNTIFS(SpendDataTbl[Defects],"Yes")</t>
    </r>
  </si>
  <si>
    <r>
      <t>% Defective</t>
    </r>
    <r>
      <rPr>
        <sz val="11"/>
        <color theme="1"/>
        <rFont val="Calibri"/>
        <family val="2"/>
        <scheme val="minor"/>
      </rPr>
      <t xml:space="preserve"> </t>
    </r>
    <r>
      <rPr>
        <sz val="10"/>
        <color theme="1"/>
        <rFont val="Arial Unicode MS"/>
      </rPr>
      <t>=Defective / TotalPOs</t>
    </r>
  </si>
  <si>
    <r>
      <t>Spend with High‑Risk Suppliers (Risk ≥ 4)</t>
    </r>
    <r>
      <rPr>
        <sz val="11"/>
        <color theme="1"/>
        <rFont val="Calibri"/>
        <family val="2"/>
        <scheme val="minor"/>
      </rPr>
      <t xml:space="preserve"> </t>
    </r>
    <r>
      <rPr>
        <sz val="10"/>
        <color theme="1"/>
        <rFont val="Arial Unicode MS"/>
      </rPr>
      <t>=SUMIFS(SpendDataTbl[Amount],SpendDataTbl[Supplier Risk Score],"&gt;=4")</t>
    </r>
  </si>
  <si>
    <r>
      <t>Overdue Invoices</t>
    </r>
    <r>
      <rPr>
        <sz val="11"/>
        <color theme="1"/>
        <rFont val="Calibri"/>
        <family val="2"/>
        <scheme val="minor"/>
      </rPr>
      <t xml:space="preserve"> </t>
    </r>
    <r>
      <rPr>
        <sz val="10"/>
        <color theme="1"/>
        <rFont val="Arial Unicode MS"/>
      </rPr>
      <t>=COUNTIFS(SpendDataTbl[CleanInvoiceStatus],"Overdue")</t>
    </r>
  </si>
  <si>
    <r>
      <t>Overdue Invoice %</t>
    </r>
    <r>
      <rPr>
        <sz val="11"/>
        <color theme="1"/>
        <rFont val="Calibri"/>
        <family val="2"/>
        <scheme val="minor"/>
      </rPr>
      <t xml:space="preserve"> </t>
    </r>
    <r>
      <rPr>
        <sz val="10"/>
        <color theme="1"/>
        <rFont val="Arial Unicode MS"/>
      </rPr>
      <t>=Overdue / TotalPOs</t>
    </r>
  </si>
  <si>
    <r>
      <t>Supplier Compliance Rate</t>
    </r>
    <r>
      <rPr>
        <sz val="11"/>
        <color theme="1"/>
        <rFont val="Calibri"/>
        <family val="2"/>
        <scheme val="minor"/>
      </rPr>
      <t xml:space="preserve"> (On‑time AND No Defects AND Not Overdue) </t>
    </r>
    <r>
      <rPr>
        <sz val="10"/>
        <color theme="1"/>
        <rFont val="Arial Unicode MS"/>
      </rPr>
      <t>=SUMPRODUCT(--(SpendDataTbl[Delivery Status]="On-time"),--(SpendDataTbl[Defects]="No"),--(SpendDataTbl[CleanInvoiceStatus]&lt;&gt;"Overdue")) / TotalPOs</t>
    </r>
  </si>
  <si>
    <r>
      <t>Supplier Fill Rate</t>
    </r>
    <r>
      <rPr>
        <sz val="11"/>
        <color theme="1"/>
        <rFont val="Calibri"/>
        <family val="2"/>
        <scheme val="minor"/>
      </rPr>
      <t xml:space="preserve"> </t>
    </r>
    <r>
      <rPr>
        <sz val="10"/>
        <color theme="1"/>
        <rFont val="Arial Unicode MS"/>
      </rPr>
      <t>=OnTime / TotalPOs</t>
    </r>
  </si>
  <si>
    <r>
      <t>Average Lead Time</t>
    </r>
    <r>
      <rPr>
        <sz val="11"/>
        <color theme="1"/>
        <rFont val="Calibri"/>
        <family val="2"/>
        <scheme val="minor"/>
      </rPr>
      <t xml:space="preserve"> </t>
    </r>
    <r>
      <rPr>
        <sz val="10"/>
        <color theme="1"/>
        <rFont val="Arial Unicode MS"/>
      </rPr>
      <t>=AVERAGE(SpendDataTbl[Lead Time (days)])</t>
    </r>
  </si>
  <si>
    <t>PivotTables used</t>
  </si>
  <si>
    <t>Supplier performance</t>
  </si>
  <si>
    <t>Category spend</t>
  </si>
  <si>
    <t>Buyer spend</t>
  </si>
  <si>
    <t>Risk exposure</t>
  </si>
  <si>
    <t>Invoice status</t>
  </si>
  <si>
    <t>Spend trend</t>
  </si>
  <si>
    <t>Lead time analysis</t>
  </si>
  <si>
    <t>Dashboard dependencies</t>
  </si>
  <si>
    <r>
      <t xml:space="preserve">All visuals depend on </t>
    </r>
    <r>
      <rPr>
        <b/>
        <sz val="11"/>
        <color theme="1"/>
        <rFont val="Calibri"/>
        <family val="2"/>
        <scheme val="minor"/>
      </rPr>
      <t>SpendDataTbl</t>
    </r>
  </si>
  <si>
    <t>Slicers are connected to all PivotTables</t>
  </si>
  <si>
    <t>KPI cards use direct formulas referencing the table</t>
  </si>
  <si>
    <t>Charts use PivotCharts for dynamic filtering</t>
  </si>
  <si>
    <t>Currency spend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</si>
</sst>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dd/mm/yyyy;@"/>
    <numFmt numFmtId="165" formatCode="_-* #,##0_-;\-* #,##0_-;_-* &quot;-&quot;??_-;_-@_-"/>
  </numFmts>
  <fonts count="12">
    <font>
      <sz val="11"/>
      <color theme="1"/>
      <name val="Calibri"/>
      <family val="2"/>
      <scheme val="minor"/>
    </font>
    <font>
      <b/>
      <sz val="11"/>
      <name val="Calibri"/>
    </font>
    <font>
      <b/>
      <sz val="16"/>
      <name val="Calibri"/>
    </font>
    <font>
      <i/>
      <sz val="11"/>
      <name val="Calibri"/>
    </font>
    <font>
      <sz val="11"/>
      <color theme="1"/>
      <name val="Calibri"/>
      <family val="2"/>
      <scheme val="minor"/>
    </font>
    <font>
      <b/>
      <u/>
      <sz val="11"/>
      <color theme="1"/>
      <name val="Calibri"/>
      <family val="2"/>
      <scheme val="minor"/>
    </font>
    <font>
      <b/>
      <i/>
      <sz val="11"/>
      <color theme="1"/>
      <name val="Calibri"/>
      <family val="2"/>
      <scheme val="minor"/>
    </font>
    <font>
      <b/>
      <sz val="11"/>
      <name val="Calibri"/>
      <family val="2"/>
    </font>
    <font>
      <b/>
      <sz val="11"/>
      <color theme="1"/>
      <name val="Calibri"/>
      <family val="2"/>
      <scheme val="minor"/>
    </font>
    <font>
      <b/>
      <sz val="18"/>
      <color theme="1"/>
      <name val="Calibri"/>
      <family val="2"/>
      <scheme val="minor"/>
    </font>
    <font>
      <i/>
      <sz val="11"/>
      <color theme="1"/>
      <name val="Calibri"/>
      <family val="2"/>
      <scheme val="minor"/>
    </font>
    <font>
      <sz val="10"/>
      <color theme="1"/>
      <name val="Arial Unicode MS"/>
    </font>
  </fonts>
  <fills count="5">
    <fill>
      <patternFill patternType="none"/>
    </fill>
    <fill>
      <patternFill patternType="gray125"/>
    </fill>
    <fill>
      <patternFill patternType="solid">
        <fgColor rgb="FFA9DFBF"/>
        <bgColor rgb="FFA9DFBF"/>
      </patternFill>
    </fill>
    <fill>
      <patternFill patternType="solid">
        <fgColor rgb="FFE9F7EF"/>
        <bgColor rgb="FFE9F7EF"/>
      </patternFill>
    </fill>
    <fill>
      <patternFill patternType="solid">
        <fgColor rgb="FFFFFFFF"/>
        <bgColor rgb="FFFFFFFF"/>
      </patternFill>
    </fill>
  </fills>
  <borders count="10">
    <border>
      <left/>
      <right/>
      <top/>
      <bottom/>
      <diagonal/>
    </border>
    <border>
      <left style="thick">
        <color rgb="FF228B22"/>
      </left>
      <right style="thick">
        <color rgb="FF228B22"/>
      </right>
      <top style="thick">
        <color rgb="FF228B22"/>
      </top>
      <bottom style="thick">
        <color rgb="FF228B22"/>
      </bottom>
      <diagonal/>
    </border>
    <border>
      <left style="thick">
        <color rgb="FF228B22"/>
      </left>
      <right style="thick">
        <color rgb="FF228B22"/>
      </right>
      <top/>
      <bottom style="thick">
        <color rgb="FF228B22"/>
      </bottom>
      <diagonal/>
    </border>
    <border>
      <left style="thick">
        <color rgb="FF228B22"/>
      </left>
      <right/>
      <top style="thick">
        <color rgb="FF228B22"/>
      </top>
      <bottom/>
      <diagonal/>
    </border>
    <border>
      <left/>
      <right style="thick">
        <color rgb="FF228B22"/>
      </right>
      <top style="thick">
        <color rgb="FF228B22"/>
      </top>
      <bottom/>
      <diagonal/>
    </border>
    <border>
      <left style="thick">
        <color rgb="FF228B22"/>
      </left>
      <right/>
      <top/>
      <bottom style="thick">
        <color rgb="FF228B22"/>
      </bottom>
      <diagonal/>
    </border>
    <border>
      <left/>
      <right style="thick">
        <color rgb="FF228B22"/>
      </right>
      <top/>
      <bottom style="thick">
        <color rgb="FF228B22"/>
      </bottom>
      <diagonal/>
    </border>
    <border>
      <left/>
      <right/>
      <top style="thick">
        <color rgb="FF228B22"/>
      </top>
      <bottom/>
      <diagonal/>
    </border>
    <border>
      <left/>
      <right/>
      <top/>
      <bottom style="thick">
        <color rgb="FF228B22"/>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4" fillId="0" borderId="0" applyFont="0" applyFill="0" applyBorder="0" applyAlignment="0" applyProtection="0"/>
    <xf numFmtId="9" fontId="4" fillId="0" borderId="0" applyFont="0" applyFill="0" applyBorder="0" applyAlignment="0" applyProtection="0"/>
  </cellStyleXfs>
  <cellXfs count="49">
    <xf numFmtId="0" fontId="0" fillId="0" borderId="0" xfId="0"/>
    <xf numFmtId="0" fontId="1" fillId="2" borderId="0" xfId="0" applyFont="1" applyFill="1"/>
    <xf numFmtId="0" fontId="1" fillId="0" borderId="0" xfId="0" applyFont="1"/>
    <xf numFmtId="164" fontId="1" fillId="2" borderId="0" xfId="0" applyNumberFormat="1" applyFont="1" applyFill="1"/>
    <xf numFmtId="164" fontId="0" fillId="0" borderId="0" xfId="0" applyNumberFormat="1"/>
    <xf numFmtId="165" fontId="0" fillId="0" borderId="0" xfId="1" applyNumberFormat="1" applyFont="1"/>
    <xf numFmtId="0" fontId="0" fillId="0" borderId="0" xfId="0" pivotButton="1"/>
    <xf numFmtId="0" fontId="0" fillId="0" borderId="0" xfId="0" applyAlignment="1">
      <alignment horizontal="left"/>
    </xf>
    <xf numFmtId="3" fontId="0" fillId="0" borderId="0" xfId="0" applyNumberFormat="1"/>
    <xf numFmtId="165" fontId="0" fillId="0" borderId="0" xfId="0" applyNumberFormat="1"/>
    <xf numFmtId="10" fontId="0" fillId="0" borderId="0" xfId="0" applyNumberFormat="1"/>
    <xf numFmtId="0" fontId="6" fillId="0" borderId="9" xfId="0" applyFont="1" applyBorder="1"/>
    <xf numFmtId="0" fontId="0" fillId="0" borderId="9" xfId="0" applyBorder="1"/>
    <xf numFmtId="165" fontId="0" fillId="0" borderId="9" xfId="1" applyNumberFormat="1" applyFont="1" applyBorder="1"/>
    <xf numFmtId="0" fontId="5" fillId="0" borderId="0" xfId="0" applyFont="1" applyAlignment="1">
      <alignment horizontal="center"/>
    </xf>
    <xf numFmtId="0" fontId="3" fillId="0" borderId="0" xfId="0" applyFont="1" applyAlignment="1">
      <alignment horizontal="center"/>
    </xf>
    <xf numFmtId="0" fontId="7" fillId="2" borderId="0" xfId="0" applyFont="1" applyFill="1"/>
    <xf numFmtId="0" fontId="5" fillId="0" borderId="0" xfId="0" applyFont="1" applyAlignment="1">
      <alignment horizontal="left"/>
    </xf>
    <xf numFmtId="0" fontId="7" fillId="0" borderId="0" xfId="0" applyFont="1"/>
    <xf numFmtId="0" fontId="3" fillId="0" borderId="0" xfId="0" applyFont="1"/>
    <xf numFmtId="0" fontId="3" fillId="0" borderId="0" xfId="0" applyFont="1" applyAlignment="1">
      <alignment horizontal="center" vertical="center"/>
    </xf>
    <xf numFmtId="0" fontId="0" fillId="0" borderId="0" xfId="0"/>
    <xf numFmtId="0" fontId="1" fillId="4" borderId="1" xfId="0" applyFont="1" applyFill="1" applyBorder="1" applyAlignment="1">
      <alignment horizontal="center" vertical="center"/>
    </xf>
    <xf numFmtId="0" fontId="0" fillId="0" borderId="2" xfId="0" applyBorder="1"/>
    <xf numFmtId="43" fontId="1" fillId="4" borderId="1" xfId="1" applyFont="1" applyFill="1" applyBorder="1" applyAlignment="1">
      <alignment horizontal="center" vertical="center"/>
    </xf>
    <xf numFmtId="43" fontId="0" fillId="0" borderId="2" xfId="1" applyFont="1" applyBorder="1"/>
    <xf numFmtId="1" fontId="1" fillId="4" borderId="1" xfId="0" applyNumberFormat="1" applyFont="1" applyFill="1" applyBorder="1" applyAlignment="1">
      <alignment horizontal="center" vertical="center"/>
    </xf>
    <xf numFmtId="1" fontId="0" fillId="0" borderId="2" xfId="0" applyNumberFormat="1" applyBorder="1"/>
    <xf numFmtId="10" fontId="1" fillId="4" borderId="1" xfId="2" applyNumberFormat="1" applyFont="1" applyFill="1" applyBorder="1" applyAlignment="1">
      <alignment horizontal="center" vertical="center"/>
    </xf>
    <xf numFmtId="10" fontId="0" fillId="0" borderId="2" xfId="2" applyNumberFormat="1" applyFont="1" applyBorder="1"/>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8"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1" fillId="3" borderId="6" xfId="0" applyFont="1" applyFill="1" applyBorder="1" applyAlignment="1">
      <alignment horizontal="center" vertical="center" wrapText="1"/>
    </xf>
    <xf numFmtId="3" fontId="1" fillId="4" borderId="1" xfId="0" applyNumberFormat="1" applyFont="1" applyFill="1" applyBorder="1" applyAlignment="1">
      <alignment horizontal="center" vertical="center"/>
    </xf>
    <xf numFmtId="3" fontId="0" fillId="0" borderId="2" xfId="0" applyNumberFormat="1" applyBorder="1"/>
    <xf numFmtId="0" fontId="2" fillId="0" borderId="0" xfId="0" applyFont="1" applyAlignment="1">
      <alignment horizontal="center"/>
    </xf>
    <xf numFmtId="0" fontId="9" fillId="0" borderId="0" xfId="0" applyFont="1" applyAlignment="1">
      <alignment vertical="center"/>
    </xf>
    <xf numFmtId="0" fontId="0" fillId="0" borderId="0" xfId="0" applyAlignment="1">
      <alignment horizontal="left" vertical="center" indent="1"/>
    </xf>
    <xf numFmtId="0" fontId="0" fillId="0" borderId="0" xfId="0" applyAlignment="1">
      <alignment horizontal="left" vertical="center" indent="2"/>
    </xf>
    <xf numFmtId="0" fontId="8" fillId="0" borderId="0" xfId="0" applyFont="1" applyAlignment="1">
      <alignment horizontal="left" vertical="center" indent="1"/>
    </xf>
  </cellXfs>
  <cellStyles count="3">
    <cellStyle name="Comma" xfId="1" builtinId="3"/>
    <cellStyle name="Normal" xfId="0" builtinId="0"/>
    <cellStyle name="Percent" xfId="2" builtinId="5"/>
  </cellStyles>
  <dxfs count="19">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3" tint="0.39994506668294322"/>
        </patternFill>
      </fill>
    </dxf>
    <dxf>
      <font>
        <color rgb="FF9C5700"/>
      </font>
      <fill>
        <patternFill>
          <bgColor rgb="FFFFEB9C"/>
        </patternFill>
      </fill>
    </dxf>
    <dxf>
      <font>
        <color rgb="FF006100"/>
      </font>
      <fill>
        <patternFill>
          <bgColor rgb="FFC6EFCE"/>
        </patternFill>
      </fill>
    </dxf>
    <dxf>
      <numFmt numFmtId="14" formatCode="0.00%"/>
    </dxf>
    <dxf>
      <numFmt numFmtId="3" formatCode="#,##0"/>
    </dxf>
    <dxf>
      <numFmt numFmtId="165" formatCode="_-* #,##0_-;\-* #,##0_-;_-* &quot;-&quot;??_-;_-@_-"/>
    </dxf>
    <dxf>
      <numFmt numFmtId="165" formatCode="_-* #,##0_-;\-* #,##0_-;_-* &quot;-&quot;??_-;_-@_-"/>
    </dxf>
    <dxf>
      <numFmt numFmtId="3" formatCode="#,##0"/>
    </dxf>
    <dxf>
      <numFmt numFmtId="3" formatCode="#,##0"/>
    </dxf>
    <dxf>
      <numFmt numFmtId="3" formatCode="#,##0"/>
    </dxf>
    <dxf>
      <numFmt numFmtId="3" formatCode="#,##0"/>
    </dxf>
    <dxf>
      <numFmt numFmtId="3" formatCode="#,##0"/>
    </dxf>
    <dxf>
      <numFmt numFmtId="14" formatCode="0.00%"/>
    </dxf>
    <dxf>
      <numFmt numFmtId="3" formatCode="#,##0"/>
    </dxf>
    <dxf>
      <numFmt numFmtId="3" formatCode="#,##0"/>
    </dxf>
    <dxf>
      <numFmt numFmtId="164"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[Supplier_Performance_Dashboard.xlsx]PivotTables!PivotTable1</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GB" b="1" u="sng">
                <a:solidFill>
                  <a:sysClr val="windowText" lastClr="000000"/>
                </a:solidFill>
              </a:rPr>
              <a:t>Spend by supplier</a:t>
            </a:r>
          </a:p>
        </c:rich>
      </c:tx>
      <c:layout>
        <c:manualLayout>
          <c:xMode val="edge"/>
          <c:yMode val="edge"/>
          <c:x val="0.39723732273578799"/>
          <c:y val="2.21689997083697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603078473409141"/>
          <c:y val="0.11021797246375489"/>
          <c:w val="0.84847942029845158"/>
          <c:h val="0.44603492271799361"/>
        </c:manualLayout>
      </c:layout>
      <c:bar3DChart>
        <c:barDir val="col"/>
        <c:grouping val="standard"/>
        <c:varyColors val="0"/>
        <c:ser>
          <c:idx val="0"/>
          <c:order val="0"/>
          <c:tx>
            <c:strRef>
              <c:f>PivotTables!$B$2</c:f>
              <c:strCache>
                <c:ptCount val="1"/>
                <c:pt idx="0">
                  <c:v>Sum of Amount</c:v>
                </c:pt>
              </c:strCache>
            </c:strRef>
          </c:tx>
          <c:spPr>
            <a:solidFill>
              <a:schemeClr val="accent1"/>
            </a:solidFill>
            <a:ln>
              <a:noFill/>
            </a:ln>
            <a:effectLst/>
            <a:sp3d/>
          </c:spPr>
          <c:invertIfNegative val="0"/>
          <c:cat>
            <c:strRef>
              <c:f>PivotTables!$A$3:$A$15</c:f>
              <c:strCache>
                <c:ptCount val="12"/>
                <c:pt idx="0">
                  <c:v>Apex Consulting</c:v>
                </c:pt>
                <c:pt idx="1">
                  <c:v>BrightPath Training</c:v>
                </c:pt>
                <c:pt idx="2">
                  <c:v>CleanMax Services</c:v>
                </c:pt>
                <c:pt idx="3">
                  <c:v>EcoClean Waste Mgmt</c:v>
                </c:pt>
                <c:pt idx="4">
                  <c:v>FreshBrew Coffee</c:v>
                </c:pt>
                <c:pt idx="5">
                  <c:v>GreenLeaf Landscaping</c:v>
                </c:pt>
                <c:pt idx="6">
                  <c:v>MoveFast Logistics</c:v>
                </c:pt>
                <c:pt idx="7">
                  <c:v>NorthStar Transport</c:v>
                </c:pt>
                <c:pt idx="8">
                  <c:v>OfficePro Supplies</c:v>
                </c:pt>
                <c:pt idx="9">
                  <c:v>PrintWorks Ltd</c:v>
                </c:pt>
                <c:pt idx="10">
                  <c:v>SecureIT Cyber</c:v>
                </c:pt>
                <c:pt idx="11">
                  <c:v>TechSource Ltd</c:v>
                </c:pt>
              </c:strCache>
            </c:strRef>
          </c:cat>
          <c:val>
            <c:numRef>
              <c:f>PivotTables!$B$3:$B$15</c:f>
              <c:numCache>
                <c:formatCode>#,##0</c:formatCode>
                <c:ptCount val="12"/>
                <c:pt idx="0">
                  <c:v>164150</c:v>
                </c:pt>
                <c:pt idx="1">
                  <c:v>180380</c:v>
                </c:pt>
                <c:pt idx="2">
                  <c:v>193110</c:v>
                </c:pt>
                <c:pt idx="3">
                  <c:v>217490</c:v>
                </c:pt>
                <c:pt idx="4">
                  <c:v>206750</c:v>
                </c:pt>
                <c:pt idx="5">
                  <c:v>220700</c:v>
                </c:pt>
                <c:pt idx="6">
                  <c:v>168560</c:v>
                </c:pt>
                <c:pt idx="7">
                  <c:v>211950</c:v>
                </c:pt>
                <c:pt idx="8">
                  <c:v>266050</c:v>
                </c:pt>
                <c:pt idx="9">
                  <c:v>201350</c:v>
                </c:pt>
                <c:pt idx="10">
                  <c:v>230020</c:v>
                </c:pt>
                <c:pt idx="11">
                  <c:v>246380</c:v>
                </c:pt>
              </c:numCache>
            </c:numRef>
          </c:val>
          <c:extLst>
            <c:ext xmlns:c16="http://schemas.microsoft.com/office/drawing/2014/chart" uri="{C3380CC4-5D6E-409C-BE32-E72D297353CC}">
              <c16:uniqueId val="{00000000-7311-411F-8F3A-3F6D73C6D006}"/>
            </c:ext>
          </c:extLst>
        </c:ser>
        <c:ser>
          <c:idx val="1"/>
          <c:order val="1"/>
          <c:tx>
            <c:strRef>
              <c:f>PivotTables!$C$2</c:f>
              <c:strCache>
                <c:ptCount val="1"/>
                <c:pt idx="0">
                  <c:v>Sum of Amount2</c:v>
                </c:pt>
              </c:strCache>
            </c:strRef>
          </c:tx>
          <c:spPr>
            <a:solidFill>
              <a:schemeClr val="accent2"/>
            </a:solidFill>
            <a:ln>
              <a:noFill/>
            </a:ln>
            <a:effectLst/>
            <a:sp3d/>
          </c:spPr>
          <c:invertIfNegative val="0"/>
          <c:cat>
            <c:strRef>
              <c:f>PivotTables!$A$3:$A$15</c:f>
              <c:strCache>
                <c:ptCount val="12"/>
                <c:pt idx="0">
                  <c:v>Apex Consulting</c:v>
                </c:pt>
                <c:pt idx="1">
                  <c:v>BrightPath Training</c:v>
                </c:pt>
                <c:pt idx="2">
                  <c:v>CleanMax Services</c:v>
                </c:pt>
                <c:pt idx="3">
                  <c:v>EcoClean Waste Mgmt</c:v>
                </c:pt>
                <c:pt idx="4">
                  <c:v>FreshBrew Coffee</c:v>
                </c:pt>
                <c:pt idx="5">
                  <c:v>GreenLeaf Landscaping</c:v>
                </c:pt>
                <c:pt idx="6">
                  <c:v>MoveFast Logistics</c:v>
                </c:pt>
                <c:pt idx="7">
                  <c:v>NorthStar Transport</c:v>
                </c:pt>
                <c:pt idx="8">
                  <c:v>OfficePro Supplies</c:v>
                </c:pt>
                <c:pt idx="9">
                  <c:v>PrintWorks Ltd</c:v>
                </c:pt>
                <c:pt idx="10">
                  <c:v>SecureIT Cyber</c:v>
                </c:pt>
                <c:pt idx="11">
                  <c:v>TechSource Ltd</c:v>
                </c:pt>
              </c:strCache>
            </c:strRef>
          </c:cat>
          <c:val>
            <c:numRef>
              <c:f>PivotTables!$C$3:$C$15</c:f>
              <c:numCache>
                <c:formatCode>0.00%</c:formatCode>
                <c:ptCount val="12"/>
                <c:pt idx="0">
                  <c:v>6.5479538392191117E-2</c:v>
                </c:pt>
                <c:pt idx="1">
                  <c:v>7.1953695614885377E-2</c:v>
                </c:pt>
                <c:pt idx="2">
                  <c:v>7.7031700633055297E-2</c:v>
                </c:pt>
                <c:pt idx="3">
                  <c:v>8.6756897989141921E-2</c:v>
                </c:pt>
                <c:pt idx="4">
                  <c:v>8.2472705224401546E-2</c:v>
                </c:pt>
                <c:pt idx="5">
                  <c:v>8.8037369011005673E-2</c:v>
                </c:pt>
                <c:pt idx="6">
                  <c:v>6.7238690169891785E-2</c:v>
                </c:pt>
                <c:pt idx="7">
                  <c:v>8.4546988499694845E-2</c:v>
                </c:pt>
                <c:pt idx="8">
                  <c:v>0.10612751257534235</c:v>
                </c:pt>
                <c:pt idx="9">
                  <c:v>8.0318641823135445E-2</c:v>
                </c:pt>
                <c:pt idx="10">
                  <c:v>9.1755122881339024E-2</c:v>
                </c:pt>
                <c:pt idx="11">
                  <c:v>9.8281137185915621E-2</c:v>
                </c:pt>
              </c:numCache>
            </c:numRef>
          </c:val>
          <c:extLst>
            <c:ext xmlns:c16="http://schemas.microsoft.com/office/drawing/2014/chart" uri="{C3380CC4-5D6E-409C-BE32-E72D297353CC}">
              <c16:uniqueId val="{00000001-7311-411F-8F3A-3F6D73C6D006}"/>
            </c:ext>
          </c:extLst>
        </c:ser>
        <c:dLbls>
          <c:showLegendKey val="0"/>
          <c:showVal val="0"/>
          <c:showCatName val="0"/>
          <c:showSerName val="0"/>
          <c:showPercent val="0"/>
          <c:showBubbleSize val="0"/>
        </c:dLbls>
        <c:gapWidth val="150"/>
        <c:shape val="box"/>
        <c:axId val="518047247"/>
        <c:axId val="518051087"/>
        <c:axId val="1215959792"/>
      </c:bar3DChart>
      <c:catAx>
        <c:axId val="51804724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solidFill>
                      <a:sysClr val="windowText" lastClr="000000"/>
                    </a:solidFill>
                  </a:rPr>
                  <a:t>Suppliers</a:t>
                </a:r>
              </a:p>
            </c:rich>
          </c:tx>
          <c:layout>
            <c:manualLayout>
              <c:xMode val="edge"/>
              <c:yMode val="edge"/>
              <c:x val="0.32376213951926019"/>
              <c:y val="0.89528891159752189"/>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051087"/>
        <c:crosses val="autoZero"/>
        <c:auto val="1"/>
        <c:lblAlgn val="ctr"/>
        <c:lblOffset val="100"/>
        <c:noMultiLvlLbl val="0"/>
      </c:catAx>
      <c:valAx>
        <c:axId val="5180510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solidFill>
                      <a:sysClr val="windowText" lastClr="000000"/>
                    </a:solidFill>
                  </a:rPr>
                  <a:t>Spend 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047247"/>
        <c:crosses val="autoZero"/>
        <c:crossBetween val="between"/>
        <c:majorUnit val="50000"/>
      </c:valAx>
      <c:serAx>
        <c:axId val="1215959792"/>
        <c:scaling>
          <c:orientation val="minMax"/>
        </c:scaling>
        <c:delete val="1"/>
        <c:axPos val="b"/>
        <c:majorTickMark val="none"/>
        <c:minorTickMark val="none"/>
        <c:tickLblPos val="nextTo"/>
        <c:crossAx val="518051087"/>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[Supplier_Performance_Dashboard.xlsx]PivotTables!PivotTable2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u="sng">
                <a:solidFill>
                  <a:sysClr val="windowText" lastClr="000000"/>
                </a:solidFill>
              </a:rPr>
              <a:t>Spend by category</a:t>
            </a:r>
          </a:p>
        </c:rich>
      </c:tx>
      <c:layout>
        <c:manualLayout>
          <c:xMode val="edge"/>
          <c:yMode val="edge"/>
          <c:x val="0.40835073068893524"/>
          <c:y val="3.60580651636390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8167176161803309"/>
          <c:y val="0.12033723412270718"/>
          <c:w val="0.65087067057794246"/>
          <c:h val="0.7463435294887204"/>
        </c:manualLayout>
      </c:layout>
      <c:bar3DChart>
        <c:barDir val="bar"/>
        <c:grouping val="stacked"/>
        <c:varyColors val="0"/>
        <c:ser>
          <c:idx val="0"/>
          <c:order val="0"/>
          <c:tx>
            <c:strRef>
              <c:f>PivotTables!$B$18</c:f>
              <c:strCache>
                <c:ptCount val="1"/>
                <c:pt idx="0">
                  <c:v>Sum of Amount</c:v>
                </c:pt>
              </c:strCache>
            </c:strRef>
          </c:tx>
          <c:spPr>
            <a:solidFill>
              <a:schemeClr val="accent1"/>
            </a:solidFill>
            <a:ln>
              <a:noFill/>
            </a:ln>
            <a:effectLst/>
            <a:sp3d/>
          </c:spPr>
          <c:invertIfNegative val="0"/>
          <c:cat>
            <c:strRef>
              <c:f>PivotTables!$A$19:$A$29</c:f>
              <c:strCache>
                <c:ptCount val="10"/>
                <c:pt idx="0">
                  <c:v>Cleaning Services</c:v>
                </c:pt>
                <c:pt idx="1">
                  <c:v>Consulting</c:v>
                </c:pt>
                <c:pt idx="2">
                  <c:v>IT Equipment</c:v>
                </c:pt>
                <c:pt idx="3">
                  <c:v>IT Security</c:v>
                </c:pt>
                <c:pt idx="4">
                  <c:v>Landscaping</c:v>
                </c:pt>
                <c:pt idx="5">
                  <c:v>Logistics</c:v>
                </c:pt>
                <c:pt idx="6">
                  <c:v>Office Supplies</c:v>
                </c:pt>
                <c:pt idx="7">
                  <c:v>Pantry Supplies</c:v>
                </c:pt>
                <c:pt idx="8">
                  <c:v>Printing</c:v>
                </c:pt>
                <c:pt idx="9">
                  <c:v>Training</c:v>
                </c:pt>
              </c:strCache>
            </c:strRef>
          </c:cat>
          <c:val>
            <c:numRef>
              <c:f>PivotTables!$B$19:$B$29</c:f>
              <c:numCache>
                <c:formatCode>#,##0</c:formatCode>
                <c:ptCount val="10"/>
                <c:pt idx="0">
                  <c:v>235220</c:v>
                </c:pt>
                <c:pt idx="1">
                  <c:v>252200</c:v>
                </c:pt>
                <c:pt idx="2">
                  <c:v>216670</c:v>
                </c:pt>
                <c:pt idx="3">
                  <c:v>239300</c:v>
                </c:pt>
                <c:pt idx="4">
                  <c:v>270570</c:v>
                </c:pt>
                <c:pt idx="5">
                  <c:v>246610</c:v>
                </c:pt>
                <c:pt idx="6">
                  <c:v>260470</c:v>
                </c:pt>
                <c:pt idx="7">
                  <c:v>250090</c:v>
                </c:pt>
                <c:pt idx="8">
                  <c:v>309040</c:v>
                </c:pt>
                <c:pt idx="9">
                  <c:v>226720</c:v>
                </c:pt>
              </c:numCache>
            </c:numRef>
          </c:val>
          <c:extLst>
            <c:ext xmlns:c16="http://schemas.microsoft.com/office/drawing/2014/chart" uri="{C3380CC4-5D6E-409C-BE32-E72D297353CC}">
              <c16:uniqueId val="{00000000-919D-471A-BCA4-3C4528D5EA72}"/>
            </c:ext>
          </c:extLst>
        </c:ser>
        <c:ser>
          <c:idx val="1"/>
          <c:order val="1"/>
          <c:tx>
            <c:strRef>
              <c:f>PivotTables!$C$18</c:f>
              <c:strCache>
                <c:ptCount val="1"/>
                <c:pt idx="0">
                  <c:v>Sum of Amount2</c:v>
                </c:pt>
              </c:strCache>
            </c:strRef>
          </c:tx>
          <c:spPr>
            <a:solidFill>
              <a:schemeClr val="accent2"/>
            </a:solidFill>
            <a:ln>
              <a:noFill/>
            </a:ln>
            <a:effectLst/>
            <a:sp3d/>
          </c:spPr>
          <c:invertIfNegative val="0"/>
          <c:cat>
            <c:strRef>
              <c:f>PivotTables!$A$19:$A$29</c:f>
              <c:strCache>
                <c:ptCount val="10"/>
                <c:pt idx="0">
                  <c:v>Cleaning Services</c:v>
                </c:pt>
                <c:pt idx="1">
                  <c:v>Consulting</c:v>
                </c:pt>
                <c:pt idx="2">
                  <c:v>IT Equipment</c:v>
                </c:pt>
                <c:pt idx="3">
                  <c:v>IT Security</c:v>
                </c:pt>
                <c:pt idx="4">
                  <c:v>Landscaping</c:v>
                </c:pt>
                <c:pt idx="5">
                  <c:v>Logistics</c:v>
                </c:pt>
                <c:pt idx="6">
                  <c:v>Office Supplies</c:v>
                </c:pt>
                <c:pt idx="7">
                  <c:v>Pantry Supplies</c:v>
                </c:pt>
                <c:pt idx="8">
                  <c:v>Printing</c:v>
                </c:pt>
                <c:pt idx="9">
                  <c:v>Training</c:v>
                </c:pt>
              </c:strCache>
            </c:strRef>
          </c:cat>
          <c:val>
            <c:numRef>
              <c:f>PivotTables!$C$19:$C$29</c:f>
              <c:numCache>
                <c:formatCode>0.00%</c:formatCode>
                <c:ptCount val="10"/>
                <c:pt idx="0">
                  <c:v>9.3829406156632322E-2</c:v>
                </c:pt>
                <c:pt idx="1">
                  <c:v>0.10060273885172465</c:v>
                </c:pt>
                <c:pt idx="2">
                  <c:v>8.6429799472653362E-2</c:v>
                </c:pt>
                <c:pt idx="3">
                  <c:v>9.5456920726477823E-2</c:v>
                </c:pt>
                <c:pt idx="4">
                  <c:v>0.10793054342232807</c:v>
                </c:pt>
                <c:pt idx="5">
                  <c:v>9.8372884330784352E-2</c:v>
                </c:pt>
                <c:pt idx="6">
                  <c:v>0.10390164706070071</c:v>
                </c:pt>
                <c:pt idx="7">
                  <c:v>9.9761058522711402E-2</c:v>
                </c:pt>
                <c:pt idx="8">
                  <c:v>0.12327625065319978</c:v>
                </c:pt>
                <c:pt idx="9">
                  <c:v>9.0438750802787515E-2</c:v>
                </c:pt>
              </c:numCache>
            </c:numRef>
          </c:val>
          <c:extLst>
            <c:ext xmlns:c16="http://schemas.microsoft.com/office/drawing/2014/chart" uri="{C3380CC4-5D6E-409C-BE32-E72D297353CC}">
              <c16:uniqueId val="{00000001-919D-471A-BCA4-3C4528D5EA72}"/>
            </c:ext>
          </c:extLst>
        </c:ser>
        <c:dLbls>
          <c:showLegendKey val="0"/>
          <c:showVal val="0"/>
          <c:showCatName val="0"/>
          <c:showSerName val="0"/>
          <c:showPercent val="0"/>
          <c:showBubbleSize val="0"/>
        </c:dLbls>
        <c:gapWidth val="150"/>
        <c:shape val="box"/>
        <c:axId val="559657535"/>
        <c:axId val="559654655"/>
        <c:axId val="0"/>
      </c:bar3DChart>
      <c:catAx>
        <c:axId val="5596575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654655"/>
        <c:crosses val="autoZero"/>
        <c:auto val="1"/>
        <c:lblAlgn val="ctr"/>
        <c:lblOffset val="100"/>
        <c:noMultiLvlLbl val="0"/>
      </c:catAx>
      <c:valAx>
        <c:axId val="5596546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solidFill>
                      <a:sysClr val="windowText" lastClr="000000"/>
                    </a:solidFill>
                  </a:rPr>
                  <a:t>Amount spend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59657535"/>
        <c:crosses val="autoZero"/>
        <c:crossBetween val="between"/>
        <c:majorUnit val="8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[Supplier_Performance_Dashboard.xlsx]PivotTables!PivotTable3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ysClr val="windowText" lastClr="000000"/>
                </a:solidFill>
              </a:rPr>
              <a:t>Spend by currency</a:t>
            </a:r>
          </a:p>
        </c:rich>
      </c:tx>
      <c:layout>
        <c:manualLayout>
          <c:xMode val="edge"/>
          <c:yMode val="edge"/>
          <c:x val="0.32056390235343146"/>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4902506963788301"/>
              <c:y val="-0.1666666666666667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268944794157001"/>
                  <c:h val="0.135249343832021"/>
                </c:manualLayout>
              </c15:layout>
            </c:ext>
          </c:extLst>
        </c:dLbl>
      </c:pivotFmt>
      <c:pivotFmt>
        <c:idx val="7"/>
        <c:spPr>
          <a:solidFill>
            <a:schemeClr val="accent1"/>
          </a:solidFill>
          <a:ln w="19050">
            <a:solidFill>
              <a:schemeClr val="lt1"/>
            </a:solidFill>
          </a:ln>
          <a:effectLst/>
        </c:spPr>
        <c:dLbl>
          <c:idx val="0"/>
          <c:layout>
            <c:manualLayout>
              <c:x val="0.2339832869080779"/>
              <c:y val="-2.546314523184610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533568749588753"/>
                  <c:h val="0.15839749198016911"/>
                </c:manualLayout>
              </c15:layout>
            </c:ext>
          </c:extLst>
        </c:dLbl>
      </c:pivotFmt>
      <c:pivotFmt>
        <c:idx val="8"/>
        <c:spPr>
          <a:solidFill>
            <a:schemeClr val="accent1"/>
          </a:solidFill>
          <a:ln w="19050">
            <a:solidFill>
              <a:schemeClr val="lt1"/>
            </a:solidFill>
          </a:ln>
          <a:effectLst/>
        </c:spPr>
      </c:pivotFmt>
    </c:pivotFmts>
    <c:plotArea>
      <c:layout/>
      <c:doughnutChart>
        <c:varyColors val="1"/>
        <c:ser>
          <c:idx val="0"/>
          <c:order val="0"/>
          <c:tx>
            <c:strRef>
              <c:f>PivotTables!$B$32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15-44FD-878E-AB066183BA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15-44FD-878E-AB066183BA5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E15-44FD-878E-AB066183BA52}"/>
              </c:ext>
            </c:extLst>
          </c:dPt>
          <c:dLbls>
            <c:dLbl>
              <c:idx val="0"/>
              <c:layout>
                <c:manualLayout>
                  <c:x val="0.14902506963788301"/>
                  <c:y val="-0.1666666666666667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268944794157001"/>
                      <c:h val="0.135249343832021"/>
                    </c:manualLayout>
                  </c15:layout>
                </c:ext>
                <c:ext xmlns:c16="http://schemas.microsoft.com/office/drawing/2014/chart" uri="{C3380CC4-5D6E-409C-BE32-E72D297353CC}">
                  <c16:uniqueId val="{00000001-EE15-44FD-878E-AB066183BA52}"/>
                </c:ext>
              </c:extLst>
            </c:dLbl>
            <c:dLbl>
              <c:idx val="1"/>
              <c:layout>
                <c:manualLayout>
                  <c:x val="0.2339832869080779"/>
                  <c:y val="-2.546314523184610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533568749588753"/>
                      <c:h val="0.15839749198016911"/>
                    </c:manualLayout>
                  </c15:layout>
                </c:ext>
                <c:ext xmlns:c16="http://schemas.microsoft.com/office/drawing/2014/chart" uri="{C3380CC4-5D6E-409C-BE32-E72D297353CC}">
                  <c16:uniqueId val="{00000003-EE15-44FD-878E-AB066183BA5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PivotTables!$A$33:$A$36</c:f>
              <c:strCache>
                <c:ptCount val="3"/>
                <c:pt idx="0">
                  <c:v>EUR</c:v>
                </c:pt>
                <c:pt idx="1">
                  <c:v>GBP</c:v>
                </c:pt>
                <c:pt idx="2">
                  <c:v>USD</c:v>
                </c:pt>
              </c:strCache>
            </c:strRef>
          </c:cat>
          <c:val>
            <c:numRef>
              <c:f>PivotTables!$B$33:$B$36</c:f>
              <c:numCache>
                <c:formatCode>#,##0</c:formatCode>
                <c:ptCount val="3"/>
                <c:pt idx="0">
                  <c:v>788770</c:v>
                </c:pt>
                <c:pt idx="1">
                  <c:v>863980</c:v>
                </c:pt>
                <c:pt idx="2">
                  <c:v>854140</c:v>
                </c:pt>
              </c:numCache>
            </c:numRef>
          </c:val>
          <c:extLst>
            <c:ext xmlns:c16="http://schemas.microsoft.com/office/drawing/2014/chart" uri="{C3380CC4-5D6E-409C-BE32-E72D297353CC}">
              <c16:uniqueId val="{00000006-EE15-44FD-878E-AB066183BA52}"/>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[Supplier_Performance_Dashboard.xlsx]PivotTables!PivotTable4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u="sng">
                <a:solidFill>
                  <a:sysClr val="windowText" lastClr="000000"/>
                </a:solidFill>
              </a:rPr>
              <a:t>Delivery status by supplier</a:t>
            </a:r>
          </a:p>
        </c:rich>
      </c:tx>
      <c:layout>
        <c:manualLayout>
          <c:xMode val="edge"/>
          <c:yMode val="edge"/>
          <c:x val="0.27854150584118159"/>
          <c:y val="2.21689997083697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602559055118109"/>
          <c:y val="0.12917509876734698"/>
          <c:w val="0.83171941742576283"/>
          <c:h val="0.43698308544765235"/>
        </c:manualLayout>
      </c:layout>
      <c:bar3DChart>
        <c:barDir val="col"/>
        <c:grouping val="percentStacked"/>
        <c:varyColors val="0"/>
        <c:ser>
          <c:idx val="0"/>
          <c:order val="0"/>
          <c:tx>
            <c:strRef>
              <c:f>PivotTables!$F$2:$F$3</c:f>
              <c:strCache>
                <c:ptCount val="1"/>
                <c:pt idx="0">
                  <c:v>Late</c:v>
                </c:pt>
              </c:strCache>
            </c:strRef>
          </c:tx>
          <c:spPr>
            <a:solidFill>
              <a:schemeClr val="accent1"/>
            </a:solidFill>
            <a:ln>
              <a:noFill/>
            </a:ln>
            <a:effectLst/>
            <a:sp3d/>
          </c:spPr>
          <c:invertIfNegative val="0"/>
          <c:cat>
            <c:strRef>
              <c:f>PivotTables!$E$4:$E$16</c:f>
              <c:strCache>
                <c:ptCount val="12"/>
                <c:pt idx="0">
                  <c:v>Apex Consulting</c:v>
                </c:pt>
                <c:pt idx="1">
                  <c:v>BrightPath Training</c:v>
                </c:pt>
                <c:pt idx="2">
                  <c:v>CleanMax Services</c:v>
                </c:pt>
                <c:pt idx="3">
                  <c:v>EcoClean Waste Mgmt</c:v>
                </c:pt>
                <c:pt idx="4">
                  <c:v>FreshBrew Coffee</c:v>
                </c:pt>
                <c:pt idx="5">
                  <c:v>GreenLeaf Landscaping</c:v>
                </c:pt>
                <c:pt idx="6">
                  <c:v>MoveFast Logistics</c:v>
                </c:pt>
                <c:pt idx="7">
                  <c:v>NorthStar Transport</c:v>
                </c:pt>
                <c:pt idx="8">
                  <c:v>OfficePro Supplies</c:v>
                </c:pt>
                <c:pt idx="9">
                  <c:v>PrintWorks Ltd</c:v>
                </c:pt>
                <c:pt idx="10">
                  <c:v>SecureIT Cyber</c:v>
                </c:pt>
                <c:pt idx="11">
                  <c:v>TechSource Ltd</c:v>
                </c:pt>
              </c:strCache>
            </c:strRef>
          </c:cat>
          <c:val>
            <c:numRef>
              <c:f>PivotTables!$F$4:$F$16</c:f>
              <c:numCache>
                <c:formatCode>#,##0</c:formatCode>
                <c:ptCount val="12"/>
                <c:pt idx="0">
                  <c:v>61310</c:v>
                </c:pt>
                <c:pt idx="1">
                  <c:v>90760</c:v>
                </c:pt>
                <c:pt idx="2">
                  <c:v>98290</c:v>
                </c:pt>
                <c:pt idx="3">
                  <c:v>78850</c:v>
                </c:pt>
                <c:pt idx="4">
                  <c:v>118530</c:v>
                </c:pt>
                <c:pt idx="5">
                  <c:v>102000</c:v>
                </c:pt>
                <c:pt idx="6">
                  <c:v>102540</c:v>
                </c:pt>
                <c:pt idx="7">
                  <c:v>88870</c:v>
                </c:pt>
                <c:pt idx="8">
                  <c:v>129380</c:v>
                </c:pt>
                <c:pt idx="9">
                  <c:v>88390</c:v>
                </c:pt>
                <c:pt idx="10">
                  <c:v>130600</c:v>
                </c:pt>
                <c:pt idx="11">
                  <c:v>130280</c:v>
                </c:pt>
              </c:numCache>
            </c:numRef>
          </c:val>
          <c:extLst>
            <c:ext xmlns:c16="http://schemas.microsoft.com/office/drawing/2014/chart" uri="{C3380CC4-5D6E-409C-BE32-E72D297353CC}">
              <c16:uniqueId val="{00000000-73DA-4C94-80B7-99EE11E2D513}"/>
            </c:ext>
          </c:extLst>
        </c:ser>
        <c:ser>
          <c:idx val="1"/>
          <c:order val="1"/>
          <c:tx>
            <c:strRef>
              <c:f>PivotTables!$G$2:$G$3</c:f>
              <c:strCache>
                <c:ptCount val="1"/>
                <c:pt idx="0">
                  <c:v>On-time</c:v>
                </c:pt>
              </c:strCache>
            </c:strRef>
          </c:tx>
          <c:spPr>
            <a:solidFill>
              <a:schemeClr val="accent2"/>
            </a:solidFill>
            <a:ln>
              <a:noFill/>
            </a:ln>
            <a:effectLst/>
            <a:sp3d/>
          </c:spPr>
          <c:invertIfNegative val="0"/>
          <c:cat>
            <c:strRef>
              <c:f>PivotTables!$E$4:$E$16</c:f>
              <c:strCache>
                <c:ptCount val="12"/>
                <c:pt idx="0">
                  <c:v>Apex Consulting</c:v>
                </c:pt>
                <c:pt idx="1">
                  <c:v>BrightPath Training</c:v>
                </c:pt>
                <c:pt idx="2">
                  <c:v>CleanMax Services</c:v>
                </c:pt>
                <c:pt idx="3">
                  <c:v>EcoClean Waste Mgmt</c:v>
                </c:pt>
                <c:pt idx="4">
                  <c:v>FreshBrew Coffee</c:v>
                </c:pt>
                <c:pt idx="5">
                  <c:v>GreenLeaf Landscaping</c:v>
                </c:pt>
                <c:pt idx="6">
                  <c:v>MoveFast Logistics</c:v>
                </c:pt>
                <c:pt idx="7">
                  <c:v>NorthStar Transport</c:v>
                </c:pt>
                <c:pt idx="8">
                  <c:v>OfficePro Supplies</c:v>
                </c:pt>
                <c:pt idx="9">
                  <c:v>PrintWorks Ltd</c:v>
                </c:pt>
                <c:pt idx="10">
                  <c:v>SecureIT Cyber</c:v>
                </c:pt>
                <c:pt idx="11">
                  <c:v>TechSource Ltd</c:v>
                </c:pt>
              </c:strCache>
            </c:strRef>
          </c:cat>
          <c:val>
            <c:numRef>
              <c:f>PivotTables!$G$4:$G$16</c:f>
              <c:numCache>
                <c:formatCode>#,##0</c:formatCode>
                <c:ptCount val="12"/>
                <c:pt idx="0">
                  <c:v>102840</c:v>
                </c:pt>
                <c:pt idx="1">
                  <c:v>89620</c:v>
                </c:pt>
                <c:pt idx="2">
                  <c:v>94820</c:v>
                </c:pt>
                <c:pt idx="3">
                  <c:v>138640</c:v>
                </c:pt>
                <c:pt idx="4">
                  <c:v>88220</c:v>
                </c:pt>
                <c:pt idx="5">
                  <c:v>118700</c:v>
                </c:pt>
                <c:pt idx="6">
                  <c:v>66020</c:v>
                </c:pt>
                <c:pt idx="7">
                  <c:v>123080</c:v>
                </c:pt>
                <c:pt idx="8">
                  <c:v>136670</c:v>
                </c:pt>
                <c:pt idx="9">
                  <c:v>112960</c:v>
                </c:pt>
                <c:pt idx="10">
                  <c:v>99420</c:v>
                </c:pt>
                <c:pt idx="11">
                  <c:v>116100</c:v>
                </c:pt>
              </c:numCache>
            </c:numRef>
          </c:val>
          <c:extLst>
            <c:ext xmlns:c16="http://schemas.microsoft.com/office/drawing/2014/chart" uri="{C3380CC4-5D6E-409C-BE32-E72D297353CC}">
              <c16:uniqueId val="{00000001-73DA-4C94-80B7-99EE11E2D513}"/>
            </c:ext>
          </c:extLst>
        </c:ser>
        <c:dLbls>
          <c:showLegendKey val="0"/>
          <c:showVal val="0"/>
          <c:showCatName val="0"/>
          <c:showSerName val="0"/>
          <c:showPercent val="0"/>
          <c:showBubbleSize val="0"/>
        </c:dLbls>
        <c:gapWidth val="150"/>
        <c:shape val="box"/>
        <c:axId val="521450591"/>
        <c:axId val="521453471"/>
        <c:axId val="0"/>
      </c:bar3DChart>
      <c:catAx>
        <c:axId val="52145059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solidFill>
                      <a:sysClr val="windowText" lastClr="000000"/>
                    </a:solidFill>
                  </a:rPr>
                  <a:t>Suppliers</a:t>
                </a:r>
              </a:p>
            </c:rich>
          </c:tx>
          <c:layout>
            <c:manualLayout>
              <c:xMode val="edge"/>
              <c:yMode val="edge"/>
              <c:x val="0.42358375791261382"/>
              <c:y val="0.9143945027704870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453471"/>
        <c:crosses val="autoZero"/>
        <c:auto val="1"/>
        <c:lblAlgn val="ctr"/>
        <c:lblOffset val="100"/>
        <c:noMultiLvlLbl val="0"/>
      </c:catAx>
      <c:valAx>
        <c:axId val="5214534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GB" b="1">
                    <a:solidFill>
                      <a:sysClr val="windowText" lastClr="000000"/>
                    </a:solidFill>
                  </a:rPr>
                  <a:t>On</a:t>
                </a:r>
                <a:r>
                  <a:rPr lang="en-GB" b="1" baseline="0">
                    <a:solidFill>
                      <a:sysClr val="windowText" lastClr="000000"/>
                    </a:solidFill>
                  </a:rPr>
                  <a:t> time vs delayed supplies (%)</a:t>
                </a:r>
                <a:endParaRPr lang="en-GB" b="1">
                  <a:solidFill>
                    <a:sysClr val="windowText" lastClr="000000"/>
                  </a:solidFill>
                </a:endParaRPr>
              </a:p>
            </c:rich>
          </c:tx>
          <c:layout>
            <c:manualLayout>
              <c:xMode val="edge"/>
              <c:yMode val="edge"/>
              <c:x val="3.7503782615408369E-2"/>
              <c:y val="0.1291750510352872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GB"/>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450591"/>
        <c:crosses val="autoZero"/>
        <c:crossBetween val="between"/>
        <c:majorUnit val="0.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[Supplier_Performance_Dashboard.xlsx]PivotTables!PivotTable9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u="sng">
                <a:solidFill>
                  <a:sysClr val="windowText" lastClr="000000"/>
                </a:solidFill>
              </a:rPr>
              <a:t>Defects by supplier</a:t>
            </a:r>
          </a:p>
        </c:rich>
      </c:tx>
      <c:layout>
        <c:manualLayout>
          <c:xMode val="edge"/>
          <c:yMode val="edge"/>
          <c:x val="0.32888430796370716"/>
          <c:y val="2.21530825448672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26013212609354"/>
          <c:y val="0.11973430899353106"/>
          <c:w val="0.80157420925778367"/>
          <c:h val="0.47478982855995838"/>
        </c:manualLayout>
      </c:layout>
      <c:barChart>
        <c:barDir val="col"/>
        <c:grouping val="clustered"/>
        <c:varyColors val="0"/>
        <c:ser>
          <c:idx val="0"/>
          <c:order val="0"/>
          <c:tx>
            <c:strRef>
              <c:f>PivotTables!$F$19:$F$20</c:f>
              <c:strCache>
                <c:ptCount val="1"/>
                <c:pt idx="0">
                  <c:v>No</c:v>
                </c:pt>
              </c:strCache>
            </c:strRef>
          </c:tx>
          <c:spPr>
            <a:solidFill>
              <a:schemeClr val="accent1"/>
            </a:solidFill>
            <a:ln>
              <a:noFill/>
            </a:ln>
            <a:effectLst/>
          </c:spPr>
          <c:invertIfNegative val="0"/>
          <c:cat>
            <c:strRef>
              <c:f>PivotTables!$E$21:$E$33</c:f>
              <c:strCache>
                <c:ptCount val="12"/>
                <c:pt idx="0">
                  <c:v>Apex Consulting</c:v>
                </c:pt>
                <c:pt idx="1">
                  <c:v>BrightPath Training</c:v>
                </c:pt>
                <c:pt idx="2">
                  <c:v>CleanMax Services</c:v>
                </c:pt>
                <c:pt idx="3">
                  <c:v>EcoClean Waste Mgmt</c:v>
                </c:pt>
                <c:pt idx="4">
                  <c:v>FreshBrew Coffee</c:v>
                </c:pt>
                <c:pt idx="5">
                  <c:v>GreenLeaf Landscaping</c:v>
                </c:pt>
                <c:pt idx="6">
                  <c:v>MoveFast Logistics</c:v>
                </c:pt>
                <c:pt idx="7">
                  <c:v>NorthStar Transport</c:v>
                </c:pt>
                <c:pt idx="8">
                  <c:v>OfficePro Supplies</c:v>
                </c:pt>
                <c:pt idx="9">
                  <c:v>PrintWorks Ltd</c:v>
                </c:pt>
                <c:pt idx="10">
                  <c:v>SecureIT Cyber</c:v>
                </c:pt>
                <c:pt idx="11">
                  <c:v>TechSource Ltd</c:v>
                </c:pt>
              </c:strCache>
            </c:strRef>
          </c:cat>
          <c:val>
            <c:numRef>
              <c:f>PivotTables!$F$21:$F$33</c:f>
              <c:numCache>
                <c:formatCode>#,##0</c:formatCode>
                <c:ptCount val="12"/>
                <c:pt idx="0">
                  <c:v>89700</c:v>
                </c:pt>
                <c:pt idx="1">
                  <c:v>102370</c:v>
                </c:pt>
                <c:pt idx="2">
                  <c:v>86230</c:v>
                </c:pt>
                <c:pt idx="3">
                  <c:v>114640</c:v>
                </c:pt>
                <c:pt idx="4">
                  <c:v>101220</c:v>
                </c:pt>
                <c:pt idx="5">
                  <c:v>97840</c:v>
                </c:pt>
                <c:pt idx="6">
                  <c:v>74670</c:v>
                </c:pt>
                <c:pt idx="7">
                  <c:v>117710</c:v>
                </c:pt>
                <c:pt idx="8">
                  <c:v>142830</c:v>
                </c:pt>
                <c:pt idx="9">
                  <c:v>104750</c:v>
                </c:pt>
                <c:pt idx="10">
                  <c:v>129120</c:v>
                </c:pt>
                <c:pt idx="11">
                  <c:v>132460</c:v>
                </c:pt>
              </c:numCache>
            </c:numRef>
          </c:val>
          <c:extLst>
            <c:ext xmlns:c16="http://schemas.microsoft.com/office/drawing/2014/chart" uri="{C3380CC4-5D6E-409C-BE32-E72D297353CC}">
              <c16:uniqueId val="{00000000-CDCC-4196-9B5D-1214D60DF352}"/>
            </c:ext>
          </c:extLst>
        </c:ser>
        <c:ser>
          <c:idx val="1"/>
          <c:order val="1"/>
          <c:tx>
            <c:strRef>
              <c:f>PivotTables!$G$19:$G$20</c:f>
              <c:strCache>
                <c:ptCount val="1"/>
                <c:pt idx="0">
                  <c:v>Yes</c:v>
                </c:pt>
              </c:strCache>
            </c:strRef>
          </c:tx>
          <c:spPr>
            <a:solidFill>
              <a:schemeClr val="accent2"/>
            </a:solidFill>
            <a:ln>
              <a:noFill/>
            </a:ln>
            <a:effectLst/>
          </c:spPr>
          <c:invertIfNegative val="0"/>
          <c:cat>
            <c:strRef>
              <c:f>PivotTables!$E$21:$E$33</c:f>
              <c:strCache>
                <c:ptCount val="12"/>
                <c:pt idx="0">
                  <c:v>Apex Consulting</c:v>
                </c:pt>
                <c:pt idx="1">
                  <c:v>BrightPath Training</c:v>
                </c:pt>
                <c:pt idx="2">
                  <c:v>CleanMax Services</c:v>
                </c:pt>
                <c:pt idx="3">
                  <c:v>EcoClean Waste Mgmt</c:v>
                </c:pt>
                <c:pt idx="4">
                  <c:v>FreshBrew Coffee</c:v>
                </c:pt>
                <c:pt idx="5">
                  <c:v>GreenLeaf Landscaping</c:v>
                </c:pt>
                <c:pt idx="6">
                  <c:v>MoveFast Logistics</c:v>
                </c:pt>
                <c:pt idx="7">
                  <c:v>NorthStar Transport</c:v>
                </c:pt>
                <c:pt idx="8">
                  <c:v>OfficePro Supplies</c:v>
                </c:pt>
                <c:pt idx="9">
                  <c:v>PrintWorks Ltd</c:v>
                </c:pt>
                <c:pt idx="10">
                  <c:v>SecureIT Cyber</c:v>
                </c:pt>
                <c:pt idx="11">
                  <c:v>TechSource Ltd</c:v>
                </c:pt>
              </c:strCache>
            </c:strRef>
          </c:cat>
          <c:val>
            <c:numRef>
              <c:f>PivotTables!$G$21:$G$33</c:f>
              <c:numCache>
                <c:formatCode>#,##0</c:formatCode>
                <c:ptCount val="12"/>
                <c:pt idx="0">
                  <c:v>74450</c:v>
                </c:pt>
                <c:pt idx="1">
                  <c:v>78010</c:v>
                </c:pt>
                <c:pt idx="2">
                  <c:v>106880</c:v>
                </c:pt>
                <c:pt idx="3">
                  <c:v>102850</c:v>
                </c:pt>
                <c:pt idx="4">
                  <c:v>105530</c:v>
                </c:pt>
                <c:pt idx="5">
                  <c:v>122860</c:v>
                </c:pt>
                <c:pt idx="6">
                  <c:v>93890</c:v>
                </c:pt>
                <c:pt idx="7">
                  <c:v>94240</c:v>
                </c:pt>
                <c:pt idx="8">
                  <c:v>123220</c:v>
                </c:pt>
                <c:pt idx="9">
                  <c:v>96600</c:v>
                </c:pt>
                <c:pt idx="10">
                  <c:v>100900</c:v>
                </c:pt>
                <c:pt idx="11">
                  <c:v>113920</c:v>
                </c:pt>
              </c:numCache>
            </c:numRef>
          </c:val>
          <c:extLst>
            <c:ext xmlns:c16="http://schemas.microsoft.com/office/drawing/2014/chart" uri="{C3380CC4-5D6E-409C-BE32-E72D297353CC}">
              <c16:uniqueId val="{00000001-CDCC-4196-9B5D-1214D60DF352}"/>
            </c:ext>
          </c:extLst>
        </c:ser>
        <c:dLbls>
          <c:showLegendKey val="0"/>
          <c:showVal val="0"/>
          <c:showCatName val="0"/>
          <c:showSerName val="0"/>
          <c:showPercent val="0"/>
          <c:showBubbleSize val="0"/>
        </c:dLbls>
        <c:gapWidth val="219"/>
        <c:overlap val="-27"/>
        <c:axId val="1534149696"/>
        <c:axId val="1534151136"/>
      </c:barChart>
      <c:catAx>
        <c:axId val="1534149696"/>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GB" b="1">
                    <a:solidFill>
                      <a:sysClr val="windowText" lastClr="000000"/>
                    </a:solidFill>
                  </a:rPr>
                  <a:t>Suppliers</a:t>
                </a:r>
              </a:p>
            </c:rich>
          </c:tx>
          <c:layout>
            <c:manualLayout>
              <c:xMode val="edge"/>
              <c:yMode val="edge"/>
              <c:x val="0.35511504179513703"/>
              <c:y val="0.92960629921259841"/>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151136"/>
        <c:crosses val="autoZero"/>
        <c:auto val="1"/>
        <c:lblAlgn val="ctr"/>
        <c:lblOffset val="100"/>
        <c:noMultiLvlLbl val="0"/>
      </c:catAx>
      <c:valAx>
        <c:axId val="1534151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GB">
                    <a:solidFill>
                      <a:sysClr val="windowText" lastClr="000000"/>
                    </a:solidFill>
                  </a:rPr>
                  <a:t>Spend Amount</a:t>
                </a:r>
              </a:p>
            </c:rich>
          </c:tx>
          <c:layout>
            <c:manualLayout>
              <c:xMode val="edge"/>
              <c:yMode val="edge"/>
              <c:x val="1.3879250520471894E-2"/>
              <c:y val="0.2170873432487605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149696"/>
        <c:crosses val="autoZero"/>
        <c:crossBetween val="between"/>
      </c:valAx>
      <c:spPr>
        <a:noFill/>
        <a:ln>
          <a:noFill/>
        </a:ln>
        <a:effectLst/>
      </c:spPr>
    </c:plotArea>
    <c:legend>
      <c:legendPos val="r"/>
      <c:layout>
        <c:manualLayout>
          <c:xMode val="edge"/>
          <c:yMode val="edge"/>
          <c:x val="0.6103079824010057"/>
          <c:y val="0.86993110236220472"/>
          <c:w val="0.24638592080452545"/>
          <c:h val="0.112406313794109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[Supplier_Performance_Dashboard.xlsx]PivotTables!PivotTable6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u="sng">
                <a:solidFill>
                  <a:sysClr val="windowText" lastClr="000000"/>
                </a:solidFill>
              </a:rPr>
              <a:t>Spend Trend over time</a:t>
            </a:r>
          </a:p>
        </c:rich>
      </c:tx>
      <c:layout>
        <c:manualLayout>
          <c:xMode val="edge"/>
          <c:yMode val="edge"/>
          <c:x val="0.36739028707006616"/>
          <c:y val="3.60580651636390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76746721899845"/>
          <c:y val="0.13381009297360424"/>
          <c:w val="0.78661318692157223"/>
          <c:h val="0.68457769545898317"/>
        </c:manualLayout>
      </c:layout>
      <c:lineChart>
        <c:grouping val="standard"/>
        <c:varyColors val="0"/>
        <c:ser>
          <c:idx val="0"/>
          <c:order val="0"/>
          <c:tx>
            <c:strRef>
              <c:f>PivotTables!$K$2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PivotTables!$J$3:$J$15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PivotTables!$K$3:$K$15</c:f>
              <c:numCache>
                <c:formatCode>#,##0</c:formatCode>
                <c:ptCount val="12"/>
                <c:pt idx="0">
                  <c:v>185790</c:v>
                </c:pt>
                <c:pt idx="1">
                  <c:v>199740</c:v>
                </c:pt>
                <c:pt idx="2">
                  <c:v>206860</c:v>
                </c:pt>
                <c:pt idx="3">
                  <c:v>222250</c:v>
                </c:pt>
                <c:pt idx="4">
                  <c:v>233290</c:v>
                </c:pt>
                <c:pt idx="5">
                  <c:v>176050</c:v>
                </c:pt>
                <c:pt idx="6">
                  <c:v>221710</c:v>
                </c:pt>
                <c:pt idx="7">
                  <c:v>169060</c:v>
                </c:pt>
                <c:pt idx="8">
                  <c:v>210320</c:v>
                </c:pt>
                <c:pt idx="9">
                  <c:v>229450</c:v>
                </c:pt>
                <c:pt idx="10">
                  <c:v>219390</c:v>
                </c:pt>
                <c:pt idx="11">
                  <c:v>232980</c:v>
                </c:pt>
              </c:numCache>
            </c:numRef>
          </c:val>
          <c:smooth val="0"/>
          <c:extLst>
            <c:ext xmlns:c16="http://schemas.microsoft.com/office/drawing/2014/chart" uri="{C3380CC4-5D6E-409C-BE32-E72D297353CC}">
              <c16:uniqueId val="{00000000-6A15-4558-9499-5B67CDF6AC95}"/>
            </c:ext>
          </c:extLst>
        </c:ser>
        <c:dLbls>
          <c:showLegendKey val="0"/>
          <c:showVal val="0"/>
          <c:showCatName val="0"/>
          <c:showSerName val="0"/>
          <c:showPercent val="0"/>
          <c:showBubbleSize val="0"/>
        </c:dLbls>
        <c:marker val="1"/>
        <c:smooth val="0"/>
        <c:axId val="1340570368"/>
        <c:axId val="1340577568"/>
      </c:lineChart>
      <c:catAx>
        <c:axId val="13405703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solidFill>
                      <a:sysClr val="windowText" lastClr="000000"/>
                    </a:solidFill>
                  </a:rPr>
                  <a:t>Month</a:t>
                </a:r>
              </a:p>
            </c:rich>
          </c:tx>
          <c:layout>
            <c:manualLayout>
              <c:xMode val="edge"/>
              <c:yMode val="edge"/>
              <c:x val="0.47908733746486282"/>
              <c:y val="0.91200664227516171"/>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577568"/>
        <c:crosses val="autoZero"/>
        <c:auto val="1"/>
        <c:lblAlgn val="ctr"/>
        <c:lblOffset val="100"/>
        <c:noMultiLvlLbl val="0"/>
      </c:catAx>
      <c:valAx>
        <c:axId val="134057756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solidFill>
                      <a:sysClr val="windowText" lastClr="000000"/>
                    </a:solidFill>
                  </a:rPr>
                  <a:t>Spend 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570368"/>
        <c:crosses val="autoZero"/>
        <c:crossBetween val="between"/>
        <c:majorUnit val="3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sng" strike="noStrike" kern="1200" cap="none" spc="0" normalizeH="0" baseline="0">
                <a:solidFill>
                  <a:sysClr val="windowText" lastClr="000000"/>
                </a:solidFill>
                <a:latin typeface="+mj-lt"/>
                <a:ea typeface="+mj-ea"/>
                <a:cs typeface="+mj-cs"/>
              </a:defRPr>
            </a:pPr>
            <a:r>
              <a:rPr lang="en-GB" sz="1400" b="1" u="sng">
                <a:solidFill>
                  <a:sysClr val="windowText" lastClr="000000"/>
                </a:solidFill>
                <a:latin typeface="+mn-lt"/>
              </a:rPr>
              <a:t>Suppler risk vs spend</a:t>
            </a:r>
          </a:p>
        </c:rich>
      </c:tx>
      <c:overlay val="0"/>
      <c:spPr>
        <a:noFill/>
        <a:ln>
          <a:noFill/>
        </a:ln>
        <a:effectLst/>
      </c:spPr>
      <c:txPr>
        <a:bodyPr rot="0" spcFirstLastPara="1" vertOverflow="ellipsis" vert="horz" wrap="square" anchor="ctr" anchorCtr="1"/>
        <a:lstStyle/>
        <a:p>
          <a:pPr>
            <a:defRPr sz="1600" b="1" i="0" u="sng" strike="noStrike" kern="1200" cap="none" spc="0" normalizeH="0" baseline="0">
              <a:solidFill>
                <a:sysClr val="windowText" lastClr="000000"/>
              </a:solidFill>
              <a:latin typeface="+mj-lt"/>
              <a:ea typeface="+mj-ea"/>
              <a:cs typeface="+mj-cs"/>
            </a:defRPr>
          </a:pPr>
          <a:endParaRPr lang="en-US"/>
        </a:p>
      </c:txPr>
    </c:title>
    <c:autoTitleDeleted val="0"/>
    <c:plotArea>
      <c:layout/>
      <c:scatterChart>
        <c:scatterStyle val="lineMarker"/>
        <c:varyColors val="0"/>
        <c:ser>
          <c:idx val="0"/>
          <c:order val="0"/>
          <c:spPr>
            <a:ln w="25400" cap="rnd">
              <a:noFill/>
              <a:round/>
            </a:ln>
            <a:effectLst/>
          </c:spPr>
          <c:marker>
            <c:symbol val="diamond"/>
            <c:size val="6"/>
            <c:spPr>
              <a:solidFill>
                <a:schemeClr val="lt1"/>
              </a:solidFill>
              <a:ln w="15875">
                <a:solidFill>
                  <a:schemeClr val="accent1"/>
                </a:solidFill>
                <a:round/>
              </a:ln>
              <a:effectLst/>
            </c:spPr>
          </c:marker>
          <c:xVal>
            <c:numRef>
              <c:f>PivotTables!$M$19:$M$23</c:f>
              <c:numCache>
                <c:formatCode>General</c:formatCode>
                <c:ptCount val="5"/>
                <c:pt idx="0">
                  <c:v>1</c:v>
                </c:pt>
                <c:pt idx="1">
                  <c:v>2</c:v>
                </c:pt>
                <c:pt idx="2">
                  <c:v>3</c:v>
                </c:pt>
                <c:pt idx="3">
                  <c:v>4</c:v>
                </c:pt>
                <c:pt idx="4">
                  <c:v>5</c:v>
                </c:pt>
              </c:numCache>
            </c:numRef>
          </c:xVal>
          <c:yVal>
            <c:numRef>
              <c:f>PivotTables!$N$19:$N$23</c:f>
              <c:numCache>
                <c:formatCode>_-* #,##0_-;\-* #,##0_-;_-* "-"??_-;_-@_-</c:formatCode>
                <c:ptCount val="5"/>
                <c:pt idx="0">
                  <c:v>437660</c:v>
                </c:pt>
                <c:pt idx="1">
                  <c:v>510190</c:v>
                </c:pt>
                <c:pt idx="2">
                  <c:v>774280</c:v>
                </c:pt>
                <c:pt idx="3">
                  <c:v>539200</c:v>
                </c:pt>
                <c:pt idx="4">
                  <c:v>245560</c:v>
                </c:pt>
              </c:numCache>
            </c:numRef>
          </c:yVal>
          <c:smooth val="0"/>
          <c:extLst>
            <c:ext xmlns:c16="http://schemas.microsoft.com/office/drawing/2014/chart" uri="{C3380CC4-5D6E-409C-BE32-E72D297353CC}">
              <c16:uniqueId val="{00000000-9CB6-434F-B136-C223637B2062}"/>
            </c:ext>
          </c:extLst>
        </c:ser>
        <c:dLbls>
          <c:showLegendKey val="0"/>
          <c:showVal val="0"/>
          <c:showCatName val="0"/>
          <c:showSerName val="0"/>
          <c:showPercent val="0"/>
          <c:showBubbleSize val="0"/>
        </c:dLbls>
        <c:axId val="1825892927"/>
        <c:axId val="1825893407"/>
      </c:scatterChart>
      <c:valAx>
        <c:axId val="1825892927"/>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GB"/>
                  <a:t>Risk score</a:t>
                </a:r>
              </a:p>
            </c:rich>
          </c:tx>
          <c:layout>
            <c:manualLayout>
              <c:xMode val="edge"/>
              <c:yMode val="edge"/>
              <c:x val="0.40864079100299566"/>
              <c:y val="0.9025085278974274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alpha val="54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825893407"/>
        <c:crosses val="autoZero"/>
        <c:crossBetween val="midCat"/>
      </c:valAx>
      <c:valAx>
        <c:axId val="1825893407"/>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GB"/>
                  <a:t>Spend Amount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w="9525" cap="flat" cmpd="sng" algn="ctr">
            <a:solidFill>
              <a:schemeClr val="dk1">
                <a:lumMod val="15000"/>
                <a:lumOff val="8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825892927"/>
        <c:crosses val="autoZero"/>
        <c:crossBetween val="midCat"/>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[Supplier_Performance_Dashboard.xlsx]PivotTables!PivotTable5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chemeClr val="tx1"/>
                </a:solidFill>
              </a:rPr>
              <a:t>Invoice Status</a:t>
            </a:r>
          </a:p>
        </c:rich>
      </c:tx>
      <c:layout>
        <c:manualLayout>
          <c:xMode val="edge"/>
          <c:yMode val="edge"/>
          <c:x val="0.40461303320828124"/>
          <c:y val="4.5401706402298604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467337112248214"/>
          <c:y val="0.15259762097982876"/>
          <c:w val="0.80221789700214108"/>
          <c:h val="0.64692496655188303"/>
        </c:manualLayout>
      </c:layout>
      <c:bar3DChart>
        <c:barDir val="col"/>
        <c:grouping val="standard"/>
        <c:varyColors val="0"/>
        <c:ser>
          <c:idx val="0"/>
          <c:order val="0"/>
          <c:tx>
            <c:strRef>
              <c:f>PivotTables!$K$27</c:f>
              <c:strCache>
                <c:ptCount val="1"/>
                <c:pt idx="0">
                  <c:v>Total</c:v>
                </c:pt>
              </c:strCache>
            </c:strRef>
          </c:tx>
          <c:spPr>
            <a:solidFill>
              <a:schemeClr val="accent1"/>
            </a:solidFill>
            <a:ln>
              <a:noFill/>
            </a:ln>
            <a:effectLst/>
            <a:sp3d/>
          </c:spPr>
          <c:invertIfNegative val="0"/>
          <c:cat>
            <c:strRef>
              <c:f>PivotTables!$J$28:$J$31</c:f>
              <c:strCache>
                <c:ptCount val="3"/>
                <c:pt idx="0">
                  <c:v>Overdue</c:v>
                </c:pt>
                <c:pt idx="1">
                  <c:v>Paid</c:v>
                </c:pt>
                <c:pt idx="2">
                  <c:v>Pending</c:v>
                </c:pt>
              </c:strCache>
            </c:strRef>
          </c:cat>
          <c:val>
            <c:numRef>
              <c:f>PivotTables!$K$28:$K$31</c:f>
              <c:numCache>
                <c:formatCode>#,##0</c:formatCode>
                <c:ptCount val="3"/>
                <c:pt idx="0">
                  <c:v>834940</c:v>
                </c:pt>
                <c:pt idx="1">
                  <c:v>817100</c:v>
                </c:pt>
                <c:pt idx="2">
                  <c:v>854850</c:v>
                </c:pt>
              </c:numCache>
            </c:numRef>
          </c:val>
          <c:extLst>
            <c:ext xmlns:c16="http://schemas.microsoft.com/office/drawing/2014/chart" uri="{C3380CC4-5D6E-409C-BE32-E72D297353CC}">
              <c16:uniqueId val="{00000000-3A1C-45FE-9985-F5ABE319EFC3}"/>
            </c:ext>
          </c:extLst>
        </c:ser>
        <c:dLbls>
          <c:showLegendKey val="0"/>
          <c:showVal val="0"/>
          <c:showCatName val="0"/>
          <c:showSerName val="0"/>
          <c:showPercent val="0"/>
          <c:showBubbleSize val="0"/>
        </c:dLbls>
        <c:gapWidth val="150"/>
        <c:shape val="box"/>
        <c:axId val="1036910479"/>
        <c:axId val="1036908079"/>
        <c:axId val="343022624"/>
      </c:bar3DChart>
      <c:catAx>
        <c:axId val="10369104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Invoice Status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908079"/>
        <c:crosses val="autoZero"/>
        <c:auto val="1"/>
        <c:lblAlgn val="ctr"/>
        <c:lblOffset val="100"/>
        <c:noMultiLvlLbl val="0"/>
      </c:catAx>
      <c:valAx>
        <c:axId val="10369080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Spend Amount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910479"/>
        <c:crosses val="autoZero"/>
        <c:crossBetween val="between"/>
        <c:majorUnit val="10000"/>
      </c:valAx>
      <c:serAx>
        <c:axId val="343022624"/>
        <c:scaling>
          <c:orientation val="minMax"/>
        </c:scaling>
        <c:delete val="1"/>
        <c:axPos val="b"/>
        <c:majorTickMark val="none"/>
        <c:minorTickMark val="none"/>
        <c:tickLblPos val="nextTo"/>
        <c:crossAx val="1036908079"/>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0">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tx1"/>
    </cs:fontRef>
    <cs:spPr>
      <a:ln w="9525" cap="rnd">
        <a:solidFill>
          <a:schemeClr val="phClr">
            <a:alpha val="50000"/>
          </a:scheme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15000"/>
            <a:lumOff val="8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596900</xdr:colOff>
      <xdr:row>21</xdr:row>
      <xdr:rowOff>95250</xdr:rowOff>
    </xdr:from>
    <xdr:to>
      <xdr:col>7</xdr:col>
      <xdr:colOff>571500</xdr:colOff>
      <xdr:row>36</xdr:row>
      <xdr:rowOff>120650</xdr:rowOff>
    </xdr:to>
    <xdr:graphicFrame macro="">
      <xdr:nvGraphicFramePr>
        <xdr:cNvPr id="3" name="Chart 2">
          <a:extLst>
            <a:ext uri="{FF2B5EF4-FFF2-40B4-BE49-F238E27FC236}">
              <a16:creationId xmlns:a16="http://schemas.microsoft.com/office/drawing/2014/main" id="{D06D66BA-6829-4B3B-A529-D29B38FEFD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20</xdr:row>
      <xdr:rowOff>3174</xdr:rowOff>
    </xdr:from>
    <xdr:to>
      <xdr:col>16</xdr:col>
      <xdr:colOff>590550</xdr:colOff>
      <xdr:row>37</xdr:row>
      <xdr:rowOff>19050</xdr:rowOff>
    </xdr:to>
    <xdr:graphicFrame macro="">
      <xdr:nvGraphicFramePr>
        <xdr:cNvPr id="4" name="Chart 3">
          <a:extLst>
            <a:ext uri="{FF2B5EF4-FFF2-40B4-BE49-F238E27FC236}">
              <a16:creationId xmlns:a16="http://schemas.microsoft.com/office/drawing/2014/main" id="{9B296152-4B59-42E4-A911-35465AFE08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28575</xdr:colOff>
      <xdr:row>38</xdr:row>
      <xdr:rowOff>85725</xdr:rowOff>
    </xdr:from>
    <xdr:to>
      <xdr:col>7</xdr:col>
      <xdr:colOff>609599</xdr:colOff>
      <xdr:row>51</xdr:row>
      <xdr:rowOff>100965</xdr:rowOff>
    </xdr:to>
    <xdr:graphicFrame macro="">
      <xdr:nvGraphicFramePr>
        <xdr:cNvPr id="6" name="Chart 5">
          <a:extLst>
            <a:ext uri="{FF2B5EF4-FFF2-40B4-BE49-F238E27FC236}">
              <a16:creationId xmlns:a16="http://schemas.microsoft.com/office/drawing/2014/main" id="{DE495191-AA9E-4024-8BEB-24632BEB76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607695</xdr:colOff>
      <xdr:row>37</xdr:row>
      <xdr:rowOff>116205</xdr:rowOff>
    </xdr:from>
    <xdr:to>
      <xdr:col>16</xdr:col>
      <xdr:colOff>592455</xdr:colOff>
      <xdr:row>51</xdr:row>
      <xdr:rowOff>164465</xdr:rowOff>
    </xdr:to>
    <xdr:graphicFrame macro="">
      <xdr:nvGraphicFramePr>
        <xdr:cNvPr id="8" name="Chart 7">
          <a:extLst>
            <a:ext uri="{FF2B5EF4-FFF2-40B4-BE49-F238E27FC236}">
              <a16:creationId xmlns:a16="http://schemas.microsoft.com/office/drawing/2014/main" id="{BDA7B435-8E82-4AA7-AE31-FCFE84C3A1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483870</xdr:colOff>
      <xdr:row>52</xdr:row>
      <xdr:rowOff>53340</xdr:rowOff>
    </xdr:from>
    <xdr:to>
      <xdr:col>8</xdr:col>
      <xdr:colOff>0</xdr:colOff>
      <xdr:row>67</xdr:row>
      <xdr:rowOff>84455</xdr:rowOff>
    </xdr:to>
    <xdr:graphicFrame macro="">
      <xdr:nvGraphicFramePr>
        <xdr:cNvPr id="9" name="Chart 8">
          <a:extLst>
            <a:ext uri="{FF2B5EF4-FFF2-40B4-BE49-F238E27FC236}">
              <a16:creationId xmlns:a16="http://schemas.microsoft.com/office/drawing/2014/main" id="{2BDBA088-9A8D-4996-9FF1-62F6E9A158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0</xdr:colOff>
      <xdr:row>52</xdr:row>
      <xdr:rowOff>0</xdr:rowOff>
    </xdr:from>
    <xdr:to>
      <xdr:col>16</xdr:col>
      <xdr:colOff>523875</xdr:colOff>
      <xdr:row>67</xdr:row>
      <xdr:rowOff>25400</xdr:rowOff>
    </xdr:to>
    <xdr:graphicFrame macro="">
      <xdr:nvGraphicFramePr>
        <xdr:cNvPr id="10" name="Chart 9">
          <a:extLst>
            <a:ext uri="{FF2B5EF4-FFF2-40B4-BE49-F238E27FC236}">
              <a16:creationId xmlns:a16="http://schemas.microsoft.com/office/drawing/2014/main" id="{0BEC6909-6FF4-41A3-9F41-3C87F53878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581025</xdr:colOff>
      <xdr:row>68</xdr:row>
      <xdr:rowOff>15240</xdr:rowOff>
    </xdr:from>
    <xdr:to>
      <xdr:col>8</xdr:col>
      <xdr:colOff>0</xdr:colOff>
      <xdr:row>83</xdr:row>
      <xdr:rowOff>0</xdr:rowOff>
    </xdr:to>
    <xdr:graphicFrame macro="">
      <xdr:nvGraphicFramePr>
        <xdr:cNvPr id="11" name="Chart 10">
          <a:extLst>
            <a:ext uri="{FF2B5EF4-FFF2-40B4-BE49-F238E27FC236}">
              <a16:creationId xmlns:a16="http://schemas.microsoft.com/office/drawing/2014/main" id="{9DEC5198-7F40-4B49-88A3-4B427CCC82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0</xdr:colOff>
      <xdr:row>68</xdr:row>
      <xdr:rowOff>0</xdr:rowOff>
    </xdr:from>
    <xdr:to>
      <xdr:col>16</xdr:col>
      <xdr:colOff>302895</xdr:colOff>
      <xdr:row>83</xdr:row>
      <xdr:rowOff>24765</xdr:rowOff>
    </xdr:to>
    <xdr:graphicFrame macro="">
      <xdr:nvGraphicFramePr>
        <xdr:cNvPr id="5" name="Chart 4">
          <a:extLst>
            <a:ext uri="{FF2B5EF4-FFF2-40B4-BE49-F238E27FC236}">
              <a16:creationId xmlns:a16="http://schemas.microsoft.com/office/drawing/2014/main" id="{7025202B-03D9-4279-8DF3-7C48EDDFEE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0</xdr:colOff>
      <xdr:row>2</xdr:row>
      <xdr:rowOff>0</xdr:rowOff>
    </xdr:from>
    <xdr:to>
      <xdr:col>3</xdr:col>
      <xdr:colOff>93345</xdr:colOff>
      <xdr:row>7</xdr:row>
      <xdr:rowOff>15239</xdr:rowOff>
    </xdr:to>
    <mc:AlternateContent xmlns:mc="http://schemas.openxmlformats.org/markup-compatibility/2006">
      <mc:Choice xmlns:a14="http://schemas.microsoft.com/office/drawing/2010/main" Requires="a14">
        <xdr:graphicFrame macro="">
          <xdr:nvGraphicFramePr>
            <xdr:cNvPr id="2" name="Supplier 1">
              <a:extLst>
                <a:ext uri="{FF2B5EF4-FFF2-40B4-BE49-F238E27FC236}">
                  <a16:creationId xmlns:a16="http://schemas.microsoft.com/office/drawing/2014/main" id="{135628B7-9389-4B94-9219-AEF6FE295E7C}"/>
                </a:ext>
              </a:extLst>
            </xdr:cNvPr>
            <xdr:cNvGraphicFramePr/>
          </xdr:nvGraphicFramePr>
          <xdr:xfrm>
            <a:off x="0" y="0"/>
            <a:ext cx="0" cy="0"/>
          </xdr:xfrm>
          <a:graphic>
            <a:graphicData uri="http://schemas.microsoft.com/office/drawing/2010/slicer">
              <sle:slicer xmlns:sle="http://schemas.microsoft.com/office/drawing/2010/slicer" name="Supplier 1"/>
            </a:graphicData>
          </a:graphic>
        </xdr:graphicFrame>
      </mc:Choice>
      <mc:Fallback>
        <xdr:sp macro="" textlink="">
          <xdr:nvSpPr>
            <xdr:cNvPr id="0" name=""/>
            <xdr:cNvSpPr>
              <a:spLocks noTextEdit="1"/>
            </xdr:cNvSpPr>
          </xdr:nvSpPr>
          <xdr:spPr>
            <a:xfrm>
              <a:off x="609600" y="449580"/>
              <a:ext cx="1838325" cy="92963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419100</xdr:colOff>
      <xdr:row>2</xdr:row>
      <xdr:rowOff>15240</xdr:rowOff>
    </xdr:from>
    <xdr:to>
      <xdr:col>6</xdr:col>
      <xdr:colOff>167640</xdr:colOff>
      <xdr:row>7</xdr:row>
      <xdr:rowOff>9524</xdr:rowOff>
    </xdr:to>
    <mc:AlternateContent xmlns:mc="http://schemas.openxmlformats.org/markup-compatibility/2006">
      <mc:Choice xmlns:a14="http://schemas.microsoft.com/office/drawing/2010/main" Requires="a14">
        <xdr:graphicFrame macro="">
          <xdr:nvGraphicFramePr>
            <xdr:cNvPr id="16" name="Category 1">
              <a:extLst>
                <a:ext uri="{FF2B5EF4-FFF2-40B4-BE49-F238E27FC236}">
                  <a16:creationId xmlns:a16="http://schemas.microsoft.com/office/drawing/2014/main" id="{3E539B16-150A-46CD-B5BB-A6891E4A16D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773680" y="464820"/>
              <a:ext cx="1844040" cy="90868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0</xdr:colOff>
      <xdr:row>2</xdr:row>
      <xdr:rowOff>0</xdr:rowOff>
    </xdr:from>
    <xdr:to>
      <xdr:col>10</xdr:col>
      <xdr:colOff>5715</xdr:colOff>
      <xdr:row>7</xdr:row>
      <xdr:rowOff>0</xdr:rowOff>
    </xdr:to>
    <mc:AlternateContent xmlns:mc="http://schemas.openxmlformats.org/markup-compatibility/2006">
      <mc:Choice xmlns:a14="http://schemas.microsoft.com/office/drawing/2010/main" Requires="a14">
        <xdr:graphicFrame macro="">
          <xdr:nvGraphicFramePr>
            <xdr:cNvPr id="17" name="Delivery Status 1">
              <a:extLst>
                <a:ext uri="{FF2B5EF4-FFF2-40B4-BE49-F238E27FC236}">
                  <a16:creationId xmlns:a16="http://schemas.microsoft.com/office/drawing/2014/main" id="{5F8B3CEC-F366-4747-85F7-B5FB3F238B31}"/>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dr:sp macro="" textlink="">
          <xdr:nvSpPr>
            <xdr:cNvPr id="0" name=""/>
            <xdr:cNvSpPr>
              <a:spLocks noTextEdit="1"/>
            </xdr:cNvSpPr>
          </xdr:nvSpPr>
          <xdr:spPr>
            <a:xfrm>
              <a:off x="5059680" y="449580"/>
              <a:ext cx="1834515" cy="914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323850</xdr:colOff>
      <xdr:row>1</xdr:row>
      <xdr:rowOff>165734</xdr:rowOff>
    </xdr:from>
    <xdr:to>
      <xdr:col>13</xdr:col>
      <xdr:colOff>306705</xdr:colOff>
      <xdr:row>7</xdr:row>
      <xdr:rowOff>9524</xdr:rowOff>
    </xdr:to>
    <mc:AlternateContent xmlns:mc="http://schemas.openxmlformats.org/markup-compatibility/2006">
      <mc:Choice xmlns:a14="http://schemas.microsoft.com/office/drawing/2010/main" Requires="a14">
        <xdr:graphicFrame macro="">
          <xdr:nvGraphicFramePr>
            <xdr:cNvPr id="18" name="Invoice Status 1">
              <a:extLst>
                <a:ext uri="{FF2B5EF4-FFF2-40B4-BE49-F238E27FC236}">
                  <a16:creationId xmlns:a16="http://schemas.microsoft.com/office/drawing/2014/main" id="{419AAA09-D5DD-4D6F-B305-7E9A969DDB91}"/>
                </a:ext>
              </a:extLst>
            </xdr:cNvPr>
            <xdr:cNvGraphicFramePr/>
          </xdr:nvGraphicFramePr>
          <xdr:xfrm>
            <a:off x="0" y="0"/>
            <a:ext cx="0" cy="0"/>
          </xdr:xfrm>
          <a:graphic>
            <a:graphicData uri="http://schemas.microsoft.com/office/drawing/2010/slicer">
              <sle:slicer xmlns:sle="http://schemas.microsoft.com/office/drawing/2010/slicer" name="Invoice Status 1"/>
            </a:graphicData>
          </a:graphic>
        </xdr:graphicFrame>
      </mc:Choice>
      <mc:Fallback>
        <xdr:sp macro="" textlink="">
          <xdr:nvSpPr>
            <xdr:cNvPr id="0" name=""/>
            <xdr:cNvSpPr>
              <a:spLocks noTextEdit="1"/>
            </xdr:cNvSpPr>
          </xdr:nvSpPr>
          <xdr:spPr>
            <a:xfrm>
              <a:off x="7212330" y="432434"/>
              <a:ext cx="1811655" cy="94107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2</xdr:row>
      <xdr:rowOff>0</xdr:rowOff>
    </xdr:from>
    <xdr:to>
      <xdr:col>16</xdr:col>
      <xdr:colOff>596265</xdr:colOff>
      <xdr:row>7</xdr:row>
      <xdr:rowOff>9525</xdr:rowOff>
    </xdr:to>
    <mc:AlternateContent xmlns:mc="http://schemas.openxmlformats.org/markup-compatibility/2006">
      <mc:Choice xmlns:a14="http://schemas.microsoft.com/office/drawing/2010/main" Requires="a14">
        <xdr:graphicFrame macro="">
          <xdr:nvGraphicFramePr>
            <xdr:cNvPr id="19" name="Currency 1">
              <a:extLst>
                <a:ext uri="{FF2B5EF4-FFF2-40B4-BE49-F238E27FC236}">
                  <a16:creationId xmlns:a16="http://schemas.microsoft.com/office/drawing/2014/main" id="{16DA2A26-2730-43D3-8187-5422734D2F2A}"/>
                </a:ext>
              </a:extLst>
            </xdr:cNvPr>
            <xdr:cNvGraphicFramePr/>
          </xdr:nvGraphicFramePr>
          <xdr:xfrm>
            <a:off x="0" y="0"/>
            <a:ext cx="0" cy="0"/>
          </xdr:xfrm>
          <a:graphic>
            <a:graphicData uri="http://schemas.microsoft.com/office/drawing/2010/slicer">
              <sle:slicer xmlns:sle="http://schemas.microsoft.com/office/drawing/2010/slicer" name="Currency 1"/>
            </a:graphicData>
          </a:graphic>
        </xdr:graphicFrame>
      </mc:Choice>
      <mc:Fallback>
        <xdr:sp macro="" textlink="">
          <xdr:nvSpPr>
            <xdr:cNvPr id="0" name=""/>
            <xdr:cNvSpPr>
              <a:spLocks noTextEdit="1"/>
            </xdr:cNvSpPr>
          </xdr:nvSpPr>
          <xdr:spPr>
            <a:xfrm>
              <a:off x="9326880" y="449580"/>
              <a:ext cx="1815465" cy="9239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ptop" refreshedDate="46122.04513402778" createdVersion="8" refreshedVersion="8" minRefreshableVersion="3" recordCount="1000" xr:uid="{736DF37D-20CA-4F2B-9BF5-5390925F5EEA}">
  <cacheSource type="worksheet">
    <worksheetSource name="SpendDataTbl"/>
  </cacheSource>
  <cacheFields count="17">
    <cacheField name="Date" numFmtId="164">
      <sharedItems containsSemiMixedTypes="0" containsNonDate="0" containsDate="1" containsString="0" minDate="2025-01-01T00:00:00" maxDate="2026-01-01T00:00:00" count="344">
        <d v="2025-02-18T00:00:00"/>
        <d v="2025-01-26T00:00:00"/>
        <d v="2025-02-20T00:00:00"/>
        <d v="2025-06-02T00:00:00"/>
        <d v="2025-03-10T00:00:00"/>
        <d v="2025-05-05T00:00:00"/>
        <d v="2025-02-03T00:00:00"/>
        <d v="2025-03-11T00:00:00"/>
        <d v="2025-09-07T00:00:00"/>
        <d v="2025-09-14T00:00:00"/>
        <d v="2025-10-25T00:00:00"/>
        <d v="2025-11-27T00:00:00"/>
        <d v="2025-02-19T00:00:00"/>
        <d v="2025-11-24T00:00:00"/>
        <d v="2025-12-21T00:00:00"/>
        <d v="2025-01-25T00:00:00"/>
        <d v="2025-04-13T00:00:00"/>
        <d v="2025-05-14T00:00:00"/>
        <d v="2025-01-23T00:00:00"/>
        <d v="2025-08-16T00:00:00"/>
        <d v="2025-01-10T00:00:00"/>
        <d v="2025-03-26T00:00:00"/>
        <d v="2025-01-09T00:00:00"/>
        <d v="2025-01-02T00:00:00"/>
        <d v="2025-07-13T00:00:00"/>
        <d v="2025-10-30T00:00:00"/>
        <d v="2025-09-13T00:00:00"/>
        <d v="2025-05-18T00:00:00"/>
        <d v="2025-01-19T00:00:00"/>
        <d v="2025-04-03T00:00:00"/>
        <d v="2025-05-07T00:00:00"/>
        <d v="2025-05-21T00:00:00"/>
        <d v="2025-05-30T00:00:00"/>
        <d v="2025-09-09T00:00:00"/>
        <d v="2025-03-29T00:00:00"/>
        <d v="2025-11-13T00:00:00"/>
        <d v="2025-06-24T00:00:00"/>
        <d v="2025-05-24T00:00:00"/>
        <d v="2025-06-29T00:00:00"/>
        <d v="2025-01-31T00:00:00"/>
        <d v="2025-10-01T00:00:00"/>
        <d v="2025-06-07T00:00:00"/>
        <d v="2025-09-17T00:00:00"/>
        <d v="2025-02-21T00:00:00"/>
        <d v="2025-08-08T00:00:00"/>
        <d v="2025-04-11T00:00:00"/>
        <d v="2025-11-12T00:00:00"/>
        <d v="2025-05-06T00:00:00"/>
        <d v="2025-04-01T00:00:00"/>
        <d v="2025-04-26T00:00:00"/>
        <d v="2025-02-14T00:00:00"/>
        <d v="2025-03-27T00:00:00"/>
        <d v="2025-07-10T00:00:00"/>
        <d v="2025-02-16T00:00:00"/>
        <d v="2025-12-29T00:00:00"/>
        <d v="2025-10-28T00:00:00"/>
        <d v="2025-01-17T00:00:00"/>
        <d v="2025-02-09T00:00:00"/>
        <d v="2025-10-13T00:00:00"/>
        <d v="2025-03-01T00:00:00"/>
        <d v="2025-11-20T00:00:00"/>
        <d v="2025-05-29T00:00:00"/>
        <d v="2025-06-13T00:00:00"/>
        <d v="2025-10-16T00:00:00"/>
        <d v="2025-09-19T00:00:00"/>
        <d v="2025-11-07T00:00:00"/>
        <d v="2025-03-02T00:00:00"/>
        <d v="2025-04-17T00:00:00"/>
        <d v="2025-04-19T00:00:00"/>
        <d v="2025-04-23T00:00:00"/>
        <d v="2025-07-23T00:00:00"/>
        <d v="2025-10-07T00:00:00"/>
        <d v="2025-07-24T00:00:00"/>
        <d v="2025-02-27T00:00:00"/>
        <d v="2025-10-17T00:00:00"/>
        <d v="2025-09-26T00:00:00"/>
        <d v="2025-10-15T00:00:00"/>
        <d v="2025-12-19T00:00:00"/>
        <d v="2025-06-23T00:00:00"/>
        <d v="2025-12-25T00:00:00"/>
        <d v="2025-05-25T00:00:00"/>
        <d v="2025-09-03T00:00:00"/>
        <d v="2025-09-10T00:00:00"/>
        <d v="2025-01-21T00:00:00"/>
        <d v="2025-09-27T00:00:00"/>
        <d v="2025-01-01T00:00:00"/>
        <d v="2025-06-28T00:00:00"/>
        <d v="2025-11-28T00:00:00"/>
        <d v="2025-11-17T00:00:00"/>
        <d v="2025-03-30T00:00:00"/>
        <d v="2025-07-14T00:00:00"/>
        <d v="2025-12-31T00:00:00"/>
        <d v="2025-05-16T00:00:00"/>
        <d v="2025-11-04T00:00:00"/>
        <d v="2025-01-12T00:00:00"/>
        <d v="2025-04-27T00:00:00"/>
        <d v="2025-11-10T00:00:00"/>
        <d v="2025-08-05T00:00:00"/>
        <d v="2025-04-12T00:00:00"/>
        <d v="2025-12-26T00:00:00"/>
        <d v="2025-12-30T00:00:00"/>
        <d v="2025-04-04T00:00:00"/>
        <d v="2025-01-22T00:00:00"/>
        <d v="2025-07-02T00:00:00"/>
        <d v="2025-07-31T00:00:00"/>
        <d v="2025-08-09T00:00:00"/>
        <d v="2025-04-25T00:00:00"/>
        <d v="2025-06-12T00:00:00"/>
        <d v="2025-08-20T00:00:00"/>
        <d v="2025-04-30T00:00:00"/>
        <d v="2025-11-30T00:00:00"/>
        <d v="2025-07-30T00:00:00"/>
        <d v="2025-04-22T00:00:00"/>
        <d v="2025-03-06T00:00:00"/>
        <d v="2025-08-01T00:00:00"/>
        <d v="2025-12-28T00:00:00"/>
        <d v="2025-08-23T00:00:00"/>
        <d v="2025-09-24T00:00:00"/>
        <d v="2025-03-21T00:00:00"/>
        <d v="2025-08-26T00:00:00"/>
        <d v="2025-10-19T00:00:00"/>
        <d v="2025-09-05T00:00:00"/>
        <d v="2025-09-23T00:00:00"/>
        <d v="2025-07-09T00:00:00"/>
        <d v="2025-05-22T00:00:00"/>
        <d v="2025-12-18T00:00:00"/>
        <d v="2025-10-06T00:00:00"/>
        <d v="2025-03-19T00:00:00"/>
        <d v="2025-08-10T00:00:00"/>
        <d v="2025-02-17T00:00:00"/>
        <d v="2025-03-28T00:00:00"/>
        <d v="2025-10-29T00:00:00"/>
        <d v="2025-08-15T00:00:00"/>
        <d v="2025-08-12T00:00:00"/>
        <d v="2025-05-08T00:00:00"/>
        <d v="2025-11-15T00:00:00"/>
        <d v="2025-05-31T00:00:00"/>
        <d v="2025-06-16T00:00:00"/>
        <d v="2025-10-18T00:00:00"/>
        <d v="2025-11-23T00:00:00"/>
        <d v="2025-03-20T00:00:00"/>
        <d v="2025-11-25T00:00:00"/>
        <d v="2025-06-06T00:00:00"/>
        <d v="2025-09-15T00:00:00"/>
        <d v="2025-01-03T00:00:00"/>
        <d v="2025-05-02T00:00:00"/>
        <d v="2025-10-11T00:00:00"/>
        <d v="2025-02-12T00:00:00"/>
        <d v="2025-10-22T00:00:00"/>
        <d v="2025-06-22T00:00:00"/>
        <d v="2025-04-14T00:00:00"/>
        <d v="2025-11-02T00:00:00"/>
        <d v="2025-04-10T00:00:00"/>
        <d v="2025-08-28T00:00:00"/>
        <d v="2025-01-14T00:00:00"/>
        <d v="2025-02-08T00:00:00"/>
        <d v="2025-06-15T00:00:00"/>
        <d v="2025-07-11T00:00:00"/>
        <d v="2025-01-28T00:00:00"/>
        <d v="2025-08-18T00:00:00"/>
        <d v="2025-07-22T00:00:00"/>
        <d v="2025-08-27T00:00:00"/>
        <d v="2025-09-11T00:00:00"/>
        <d v="2025-11-18T00:00:00"/>
        <d v="2025-07-08T00:00:00"/>
        <d v="2025-09-25T00:00:00"/>
        <d v="2025-12-16T00:00:00"/>
        <d v="2025-09-01T00:00:00"/>
        <d v="2025-12-07T00:00:00"/>
        <d v="2025-03-31T00:00:00"/>
        <d v="2025-04-18T00:00:00"/>
        <d v="2025-12-03T00:00:00"/>
        <d v="2025-11-21T00:00:00"/>
        <d v="2025-03-05T00:00:00"/>
        <d v="2025-02-26T00:00:00"/>
        <d v="2025-01-30T00:00:00"/>
        <d v="2025-02-25T00:00:00"/>
        <d v="2025-03-23T00:00:00"/>
        <d v="2025-03-08T00:00:00"/>
        <d v="2025-05-13T00:00:00"/>
        <d v="2025-07-16T00:00:00"/>
        <d v="2025-08-24T00:00:00"/>
        <d v="2025-07-12T00:00:00"/>
        <d v="2025-02-01T00:00:00"/>
        <d v="2025-02-06T00:00:00"/>
        <d v="2025-09-29T00:00:00"/>
        <d v="2025-06-27T00:00:00"/>
        <d v="2025-04-16T00:00:00"/>
        <d v="2025-03-13T00:00:00"/>
        <d v="2025-12-12T00:00:00"/>
        <d v="2025-12-08T00:00:00"/>
        <d v="2025-10-10T00:00:00"/>
        <d v="2025-08-31T00:00:00"/>
        <d v="2025-07-28T00:00:00"/>
        <d v="2025-07-01T00:00:00"/>
        <d v="2025-01-06T00:00:00"/>
        <d v="2025-09-08T00:00:00"/>
        <d v="2025-09-22T00:00:00"/>
        <d v="2025-07-29T00:00:00"/>
        <d v="2025-12-11T00:00:00"/>
        <d v="2025-05-04T00:00:00"/>
        <d v="2025-10-02T00:00:00"/>
        <d v="2025-09-16T00:00:00"/>
        <d v="2025-07-19T00:00:00"/>
        <d v="2025-01-20T00:00:00"/>
        <d v="2025-12-09T00:00:00"/>
        <d v="2025-04-05T00:00:00"/>
        <d v="2025-03-15T00:00:00"/>
        <d v="2025-10-05T00:00:00"/>
        <d v="2025-06-03T00:00:00"/>
        <d v="2025-04-29T00:00:00"/>
        <d v="2025-09-18T00:00:00"/>
        <d v="2025-05-27T00:00:00"/>
        <d v="2025-06-10T00:00:00"/>
        <d v="2025-10-04T00:00:00"/>
        <d v="2025-12-02T00:00:00"/>
        <d v="2025-03-09T00:00:00"/>
        <d v="2025-12-10T00:00:00"/>
        <d v="2025-12-27T00:00:00"/>
        <d v="2025-10-24T00:00:00"/>
        <d v="2025-03-18T00:00:00"/>
        <d v="2025-12-20T00:00:00"/>
        <d v="2025-08-22T00:00:00"/>
        <d v="2025-12-05T00:00:00"/>
        <d v="2025-08-13T00:00:00"/>
        <d v="2025-08-06T00:00:00"/>
        <d v="2025-05-20T00:00:00"/>
        <d v="2025-07-06T00:00:00"/>
        <d v="2025-06-30T00:00:00"/>
        <d v="2025-08-19T00:00:00"/>
        <d v="2025-01-07T00:00:00"/>
        <d v="2025-01-24T00:00:00"/>
        <d v="2025-12-14T00:00:00"/>
        <d v="2025-03-12T00:00:00"/>
        <d v="2025-11-08T00:00:00"/>
        <d v="2025-08-21T00:00:00"/>
        <d v="2025-10-14T00:00:00"/>
        <d v="2025-11-26T00:00:00"/>
        <d v="2025-10-21T00:00:00"/>
        <d v="2025-04-24T00:00:00"/>
        <d v="2025-07-07T00:00:00"/>
        <d v="2025-05-19T00:00:00"/>
        <d v="2025-08-03T00:00:00"/>
        <d v="2025-06-17T00:00:00"/>
        <d v="2025-01-27T00:00:00"/>
        <d v="2025-10-31T00:00:00"/>
        <d v="2025-06-09T00:00:00"/>
        <d v="2025-01-15T00:00:00"/>
        <d v="2025-12-23T00:00:00"/>
        <d v="2025-07-21T00:00:00"/>
        <d v="2025-12-24T00:00:00"/>
        <d v="2025-04-07T00:00:00"/>
        <d v="2025-11-19T00:00:00"/>
        <d v="2025-10-03T00:00:00"/>
        <d v="2025-11-16T00:00:00"/>
        <d v="2025-07-04T00:00:00"/>
        <d v="2025-06-18T00:00:00"/>
        <d v="2025-02-11T00:00:00"/>
        <d v="2025-04-20T00:00:00"/>
        <d v="2025-09-30T00:00:00"/>
        <d v="2025-02-05T00:00:00"/>
        <d v="2025-01-08T00:00:00"/>
        <d v="2025-11-09T00:00:00"/>
        <d v="2025-08-02T00:00:00"/>
        <d v="2025-03-04T00:00:00"/>
        <d v="2025-06-19T00:00:00"/>
        <d v="2025-02-10T00:00:00"/>
        <d v="2025-09-06T00:00:00"/>
        <d v="2025-10-20T00:00:00"/>
        <d v="2025-02-04T00:00:00"/>
        <d v="2025-10-26T00:00:00"/>
        <d v="2025-03-14T00:00:00"/>
        <d v="2025-11-22T00:00:00"/>
        <d v="2025-02-22T00:00:00"/>
        <d v="2025-03-03T00:00:00"/>
        <d v="2025-09-12T00:00:00"/>
        <d v="2025-11-01T00:00:00"/>
        <d v="2025-09-28T00:00:00"/>
        <d v="2025-03-24T00:00:00"/>
        <d v="2025-02-13T00:00:00"/>
        <d v="2025-08-11T00:00:00"/>
        <d v="2025-05-09T00:00:00"/>
        <d v="2025-04-06T00:00:00"/>
        <d v="2025-10-12T00:00:00"/>
        <d v="2025-07-17T00:00:00"/>
        <d v="2025-05-10T00:00:00"/>
        <d v="2025-06-11T00:00:00"/>
        <d v="2025-01-18T00:00:00"/>
        <d v="2025-05-11T00:00:00"/>
        <d v="2025-01-11T00:00:00"/>
        <d v="2025-03-22T00:00:00"/>
        <d v="2025-11-14T00:00:00"/>
        <d v="2025-06-05T00:00:00"/>
        <d v="2025-08-07T00:00:00"/>
        <d v="2025-09-21T00:00:00"/>
        <d v="2025-08-04T00:00:00"/>
        <d v="2025-12-06T00:00:00"/>
        <d v="2025-11-29T00:00:00"/>
        <d v="2025-12-17T00:00:00"/>
        <d v="2025-12-04T00:00:00"/>
        <d v="2025-08-30T00:00:00"/>
        <d v="2025-07-25T00:00:00"/>
        <d v="2025-04-02T00:00:00"/>
        <d v="2025-01-29T00:00:00"/>
        <d v="2025-12-01T00:00:00"/>
        <d v="2025-07-20T00:00:00"/>
        <d v="2025-05-17T00:00:00"/>
        <d v="2025-04-15T00:00:00"/>
        <d v="2025-12-22T00:00:00"/>
        <d v="2025-05-15T00:00:00"/>
        <d v="2025-04-09T00:00:00"/>
        <d v="2025-12-13T00:00:00"/>
        <d v="2025-05-23T00:00:00"/>
        <d v="2025-03-16T00:00:00"/>
        <d v="2025-07-27T00:00:00"/>
        <d v="2025-09-20T00:00:00"/>
        <d v="2025-07-15T00:00:00"/>
        <d v="2025-07-03T00:00:00"/>
        <d v="2025-11-03T00:00:00"/>
        <d v="2025-06-21T00:00:00"/>
        <d v="2025-06-20T00:00:00"/>
        <d v="2025-03-17T00:00:00"/>
        <d v="2025-07-05T00:00:00"/>
        <d v="2025-09-04T00:00:00"/>
        <d v="2025-06-14T00:00:00"/>
        <d v="2025-06-01T00:00:00"/>
        <d v="2025-11-06T00:00:00"/>
        <d v="2025-05-01T00:00:00"/>
        <d v="2025-02-28T00:00:00"/>
        <d v="2025-01-16T00:00:00"/>
        <d v="2025-06-08T00:00:00"/>
        <d v="2025-05-26T00:00:00"/>
        <d v="2025-08-25T00:00:00"/>
        <d v="2025-05-12T00:00:00"/>
        <d v="2025-11-05T00:00:00"/>
        <d v="2025-09-02T00:00:00"/>
        <d v="2025-11-11T00:00:00"/>
        <d v="2025-01-13T00:00:00"/>
        <d v="2025-04-28T00:00:00"/>
        <d v="2025-10-27T00:00:00"/>
        <d v="2025-02-07T00:00:00"/>
        <d v="2025-04-08T00:00:00"/>
        <d v="2025-06-26T00:00:00"/>
        <d v="2025-03-07T00:00:00"/>
      </sharedItems>
      <fieldGroup par="16"/>
    </cacheField>
    <cacheField name="Supplier" numFmtId="0">
      <sharedItems count="12">
        <s v="MoveFast Logistics"/>
        <s v="BrightPath Training"/>
        <s v="FreshBrew Coffee"/>
        <s v="EcoClean Waste Mgmt"/>
        <s v="CleanMax Services"/>
        <s v="TechSource Ltd"/>
        <s v="NorthStar Transport"/>
        <s v="GreenLeaf Landscaping"/>
        <s v="PrintWorks Ltd"/>
        <s v="SecureIT Cyber"/>
        <s v="OfficePro Supplies"/>
        <s v="Apex Consulting"/>
      </sharedItems>
    </cacheField>
    <cacheField name="Category" numFmtId="0">
      <sharedItems count="10">
        <s v="Logistics"/>
        <s v="Pantry Supplies"/>
        <s v="IT Security"/>
        <s v="Printing"/>
        <s v="Landscaping"/>
        <s v="Office Supplies"/>
        <s v="Cleaning Services"/>
        <s v="Consulting"/>
        <s v="Training"/>
        <s v="IT Equipment"/>
      </sharedItems>
    </cacheField>
    <cacheField name="Amount" numFmtId="0">
      <sharedItems containsSemiMixedTypes="0" containsString="0" containsNumber="1" containsInteger="1" minValue="150" maxValue="5000" count="426">
        <n v="4040"/>
        <n v="700"/>
        <n v="1730"/>
        <n v="880"/>
        <n v="4070"/>
        <n v="3610"/>
        <n v="3020"/>
        <n v="320"/>
        <n v="3260"/>
        <n v="2450"/>
        <n v="3360"/>
        <n v="4320"/>
        <n v="1630"/>
        <n v="4690"/>
        <n v="4060"/>
        <n v="2540"/>
        <n v="250"/>
        <n v="510"/>
        <n v="2600"/>
        <n v="4240"/>
        <n v="4560"/>
        <n v="370"/>
        <n v="3410"/>
        <n v="4350"/>
        <n v="2290"/>
        <n v="3550"/>
        <n v="1320"/>
        <n v="750"/>
        <n v="3210"/>
        <n v="2770"/>
        <n v="2960"/>
        <n v="1200"/>
        <n v="760"/>
        <n v="2150"/>
        <n v="3450"/>
        <n v="2640"/>
        <n v="1110"/>
        <n v="360"/>
        <n v="660"/>
        <n v="3590"/>
        <n v="3060"/>
        <n v="3940"/>
        <n v="1760"/>
        <n v="470"/>
        <n v="480"/>
        <n v="560"/>
        <n v="1180"/>
        <n v="1030"/>
        <n v="530"/>
        <n v="1350"/>
        <n v="1160"/>
        <n v="430"/>
        <n v="4930"/>
        <n v="4280"/>
        <n v="3670"/>
        <n v="3200"/>
        <n v="4840"/>
        <n v="2690"/>
        <n v="2990"/>
        <n v="2220"/>
        <n v="830"/>
        <n v="3000"/>
        <n v="3710"/>
        <n v="4860"/>
        <n v="840"/>
        <n v="2420"/>
        <n v="3010"/>
        <n v="3430"/>
        <n v="1150"/>
        <n v="3150"/>
        <n v="3250"/>
        <n v="2490"/>
        <n v="4730"/>
        <n v="3920"/>
        <n v="2380"/>
        <n v="4510"/>
        <n v="4740"/>
        <n v="1170"/>
        <n v="2340"/>
        <n v="3520"/>
        <n v="1590"/>
        <n v="600"/>
        <n v="1070"/>
        <n v="4700"/>
        <n v="590"/>
        <n v="930"/>
        <n v="2040"/>
        <n v="2920"/>
        <n v="520"/>
        <n v="420"/>
        <n v="3470"/>
        <n v="4540"/>
        <n v="4230"/>
        <n v="650"/>
        <n v="4410"/>
        <n v="1780"/>
        <n v="4970"/>
        <n v="4550"/>
        <n v="2610"/>
        <n v="4770"/>
        <n v="2590"/>
        <n v="2190"/>
        <n v="2440"/>
        <n v="860"/>
        <n v="2000"/>
        <n v="3130"/>
        <n v="2650"/>
        <n v="2470"/>
        <n v="3490"/>
        <n v="3840"/>
        <n v="3040"/>
        <n v="4380"/>
        <n v="820"/>
        <n v="3970"/>
        <n v="2730"/>
        <n v="3390"/>
        <n v="1740"/>
        <n v="170"/>
        <n v="940"/>
        <n v="4760"/>
        <n v="3290"/>
        <n v="1820"/>
        <n v="2170"/>
        <n v="2280"/>
        <n v="2050"/>
        <n v="1420"/>
        <n v="4170"/>
        <n v="2200"/>
        <n v="150"/>
        <n v="3350"/>
        <n v="2130"/>
        <n v="900"/>
        <n v="1850"/>
        <n v="2910"/>
        <n v="2330"/>
        <n v="1930"/>
        <n v="3870"/>
        <n v="3380"/>
        <n v="1440"/>
        <n v="2550"/>
        <n v="800"/>
        <n v="1130"/>
        <n v="2480"/>
        <n v="1600"/>
        <n v="1380"/>
        <n v="1910"/>
        <n v="4490"/>
        <n v="1220"/>
        <n v="4900"/>
        <n v="4010"/>
        <n v="1700"/>
        <n v="970"/>
        <n v="3440"/>
        <n v="3820"/>
        <n v="2030"/>
        <n v="4790"/>
        <n v="1650"/>
        <n v="2950"/>
        <n v="4390"/>
        <n v="1470"/>
        <n v="380"/>
        <n v="4440"/>
        <n v="3510"/>
        <n v="1920"/>
        <n v="440"/>
        <n v="2740"/>
        <n v="1340"/>
        <n v="3900"/>
        <n v="2070"/>
        <n v="3630"/>
        <n v="4910"/>
        <n v="1690"/>
        <n v="4450"/>
        <n v="1100"/>
        <n v="2090"/>
        <n v="2530"/>
        <n v="4270"/>
        <n v="1870"/>
        <n v="4290"/>
        <n v="1830"/>
        <n v="3120"/>
        <n v="1520"/>
        <n v="4220"/>
        <n v="1800"/>
        <n v="1250"/>
        <n v="1140"/>
        <n v="1330"/>
        <n v="2250"/>
        <n v="240"/>
        <n v="2620"/>
        <n v="4570"/>
        <n v="1720"/>
        <n v="1900"/>
        <n v="3850"/>
        <n v="780"/>
        <n v="220"/>
        <n v="1750"/>
        <n v="2500"/>
        <n v="2360"/>
        <n v="4890"/>
        <n v="4090"/>
        <n v="3320"/>
        <n v="720"/>
        <n v="2180"/>
        <n v="330"/>
        <n v="3190"/>
        <n v="2840"/>
        <n v="4310"/>
        <n v="3090"/>
        <n v="4260"/>
        <n v="4470"/>
        <n v="270"/>
        <n v="4300"/>
        <n v="3600"/>
        <n v="1360"/>
        <n v="1210"/>
        <n v="1050"/>
        <n v="1560"/>
        <n v="1980"/>
        <n v="850"/>
        <n v="3860"/>
        <n v="4640"/>
        <n v="3890"/>
        <n v="2060"/>
        <n v="2080"/>
        <n v="1840"/>
        <n v="2980"/>
        <n v="690"/>
        <n v="2870"/>
        <n v="4460"/>
        <n v="180"/>
        <n v="3070"/>
        <n v="2300"/>
        <n v="1270"/>
        <n v="2260"/>
        <n v="2800"/>
        <n v="2810"/>
        <n v="2970"/>
        <n v="1610"/>
        <n v="3790"/>
        <n v="1230"/>
        <n v="3570"/>
        <n v="540"/>
        <n v="1290"/>
        <n v="4720"/>
        <n v="2390"/>
        <n v="740"/>
        <n v="490"/>
        <n v="4810"/>
        <n v="1300"/>
        <n v="2230"/>
        <n v="4160"/>
        <n v="4430"/>
        <n v="2010"/>
        <n v="2310"/>
        <n v="3530"/>
        <n v="1120"/>
        <n v="1970"/>
        <n v="2680"/>
        <n v="2270"/>
        <n v="2790"/>
        <n v="4330"/>
        <n v="3310"/>
        <n v="3270"/>
        <n v="810"/>
        <n v="4880"/>
        <n v="2830"/>
        <n v="790"/>
        <n v="1860"/>
        <n v="300"/>
        <n v="200"/>
        <n v="4210"/>
        <n v="1990"/>
        <n v="960"/>
        <n v="3930"/>
        <n v="2100"/>
        <n v="3760"/>
        <n v="2210"/>
        <n v="3740"/>
        <n v="5000"/>
        <n v="280"/>
        <n v="4590"/>
        <n v="1960"/>
        <n v="670"/>
        <n v="3480"/>
        <n v="3560"/>
        <n v="570"/>
        <n v="920"/>
        <n v="4180"/>
        <n v="1640"/>
        <n v="4620"/>
        <n v="3180"/>
        <n v="4030"/>
        <n v="2670"/>
        <n v="4660"/>
        <n v="1950"/>
        <n v="3280"/>
        <n v="4520"/>
        <n v="4420"/>
        <n v="1500"/>
        <n v="1770"/>
        <n v="3230"/>
        <n v="4130"/>
        <n v="770"/>
        <n v="4530"/>
        <n v="2400"/>
        <n v="4150"/>
        <n v="2880"/>
        <n v="2890"/>
        <n v="3110"/>
        <n v="3400"/>
        <n v="1190"/>
        <n v="3460"/>
        <n v="4990"/>
        <n v="1510"/>
        <n v="4820"/>
        <n v="3960"/>
        <n v="1810"/>
        <n v="3700"/>
        <n v="1540"/>
        <n v="2710"/>
        <n v="2370"/>
        <n v="2660"/>
        <n v="4050"/>
        <n v="1430"/>
        <n v="3660"/>
        <n v="4650"/>
        <n v="400"/>
        <n v="4850"/>
        <n v="2860"/>
        <n v="3080"/>
        <n v="1390"/>
        <n v="2160"/>
        <n v="3100"/>
        <n v="2780"/>
        <n v="1400"/>
        <n v="1680"/>
        <n v="4800"/>
        <n v="2110"/>
        <n v="410"/>
        <n v="2850"/>
        <n v="1040"/>
        <n v="4960"/>
        <n v="1020"/>
        <n v="3220"/>
        <n v="4680"/>
        <n v="3830"/>
        <n v="4200"/>
        <n v="1260"/>
        <n v="990"/>
        <n v="3420"/>
        <n v="450"/>
        <n v="4100"/>
        <n v="2930"/>
        <n v="500"/>
        <n v="580"/>
        <n v="710"/>
        <n v="3770"/>
        <n v="2570"/>
        <n v="2720"/>
        <n v="4360"/>
        <n v="3650"/>
        <n v="2520"/>
        <n v="3810"/>
        <n v="3140"/>
        <n v="3340"/>
        <n v="2020"/>
        <n v="160"/>
        <n v="1080"/>
        <n v="3980"/>
        <n v="4980"/>
        <n v="4000"/>
        <n v="260"/>
        <n v="4140"/>
        <n v="1620"/>
        <n v="390"/>
        <n v="4940"/>
        <n v="230"/>
        <n v="310"/>
        <n v="2560"/>
        <n v="3160"/>
        <n v="4870"/>
        <n v="950"/>
        <n v="1940"/>
        <n v="3690"/>
        <n v="3330"/>
        <n v="1580"/>
        <n v="3540"/>
        <n v="890"/>
        <n v="4920"/>
        <n v="4110"/>
        <n v="2430"/>
        <n v="2140"/>
        <n v="980"/>
        <n v="1060"/>
        <n v="3240"/>
        <n v="4400"/>
        <n v="2350"/>
        <n v="460"/>
        <n v="3300"/>
        <n v="2120"/>
        <n v="1240"/>
        <n v="610"/>
        <n v="4500"/>
        <n v="4250"/>
        <n v="1410"/>
        <n v="1370"/>
        <n v="1550"/>
        <n v="4580"/>
        <n v="350"/>
        <n v="3780"/>
        <n v="4190"/>
        <n v="3990"/>
        <n v="1570"/>
        <n v="2580"/>
        <n v="190"/>
        <n v="1790"/>
        <n v="3680"/>
        <n v="4340"/>
        <n v="1090"/>
        <n v="3170"/>
        <n v="550"/>
        <n v="680"/>
        <n v="620"/>
        <n v="3500"/>
        <n v="730"/>
      </sharedItems>
    </cacheField>
    <cacheField name="Currency" numFmtId="0">
      <sharedItems count="3">
        <s v="EUR"/>
        <s v="GBP"/>
        <s v="USD"/>
      </sharedItems>
    </cacheField>
    <cacheField name="PO Number" numFmtId="0">
      <sharedItems count="1000">
        <s v="PO0001"/>
        <s v="PO0002"/>
        <s v="PO0003"/>
        <s v="PO0004"/>
        <s v="PO0005"/>
        <s v="PO0006"/>
        <s v="PO0007"/>
        <s v="PO0008"/>
        <s v="PO0009"/>
        <s v="PO0010"/>
        <s v="PO0011"/>
        <s v="PO0012"/>
        <s v="PO0013"/>
        <s v="PO0014"/>
        <s v="PO0015"/>
        <s v="PO0016"/>
        <s v="PO0017"/>
        <s v="PO0018"/>
        <s v="PO0019"/>
        <s v="PO0020"/>
        <s v="PO0021"/>
        <s v="PO0022"/>
        <s v="PO0023"/>
        <s v="PO0024"/>
        <s v="PO0025"/>
        <s v="PO0026"/>
        <s v="PO0027"/>
        <s v="PO0028"/>
        <s v="PO0029"/>
        <s v="PO0030"/>
        <s v="PO0031"/>
        <s v="PO0032"/>
        <s v="PO0033"/>
        <s v="PO0034"/>
        <s v="PO0035"/>
        <s v="PO0036"/>
        <s v="PO0037"/>
        <s v="PO0038"/>
        <s v="PO0039"/>
        <s v="PO0040"/>
        <s v="PO0041"/>
        <s v="PO0042"/>
        <s v="PO0043"/>
        <s v="PO0044"/>
        <s v="PO0045"/>
        <s v="PO0046"/>
        <s v="PO0047"/>
        <s v="PO0048"/>
        <s v="PO0049"/>
        <s v="PO0050"/>
        <s v="PO0051"/>
        <s v="PO0052"/>
        <s v="PO0053"/>
        <s v="PO0054"/>
        <s v="PO0055"/>
        <s v="PO0056"/>
        <s v="PO0057"/>
        <s v="PO0058"/>
        <s v="PO0059"/>
        <s v="PO0060"/>
        <s v="PO0061"/>
        <s v="PO0062"/>
        <s v="PO0063"/>
        <s v="PO0064"/>
        <s v="PO0065"/>
        <s v="PO0066"/>
        <s v="PO0067"/>
        <s v="PO0068"/>
        <s v="PO0069"/>
        <s v="PO0070"/>
        <s v="PO0071"/>
        <s v="PO0072"/>
        <s v="PO0073"/>
        <s v="PO0074"/>
        <s v="PO0075"/>
        <s v="PO0076"/>
        <s v="PO0077"/>
        <s v="PO0078"/>
        <s v="PO0079"/>
        <s v="PO0080"/>
        <s v="PO0081"/>
        <s v="PO0082"/>
        <s v="PO0083"/>
        <s v="PO0084"/>
        <s v="PO0085"/>
        <s v="PO0086"/>
        <s v="PO0087"/>
        <s v="PO0088"/>
        <s v="PO0089"/>
        <s v="PO0090"/>
        <s v="PO0091"/>
        <s v="PO0092"/>
        <s v="PO0093"/>
        <s v="PO0094"/>
        <s v="PO0095"/>
        <s v="PO0096"/>
        <s v="PO0097"/>
        <s v="PO0098"/>
        <s v="PO0099"/>
        <s v="PO0100"/>
        <s v="PO0101"/>
        <s v="PO0102"/>
        <s v="PO0103"/>
        <s v="PO0104"/>
        <s v="PO0105"/>
        <s v="PO0106"/>
        <s v="PO0107"/>
        <s v="PO0108"/>
        <s v="PO0109"/>
        <s v="PO0110"/>
        <s v="PO0111"/>
        <s v="PO0112"/>
        <s v="PO0113"/>
        <s v="PO0114"/>
        <s v="PO0115"/>
        <s v="PO0116"/>
        <s v="PO0117"/>
        <s v="PO0118"/>
        <s v="PO0119"/>
        <s v="PO0120"/>
        <s v="PO0121"/>
        <s v="PO0122"/>
        <s v="PO0123"/>
        <s v="PO0124"/>
        <s v="PO0125"/>
        <s v="PO0126"/>
        <s v="PO0127"/>
        <s v="PO0128"/>
        <s v="PO0129"/>
        <s v="PO0130"/>
        <s v="PO0131"/>
        <s v="PO0132"/>
        <s v="PO0133"/>
        <s v="PO0134"/>
        <s v="PO0135"/>
        <s v="PO0136"/>
        <s v="PO0137"/>
        <s v="PO0138"/>
        <s v="PO0139"/>
        <s v="PO0140"/>
        <s v="PO0141"/>
        <s v="PO0142"/>
        <s v="PO0143"/>
        <s v="PO0144"/>
        <s v="PO0145"/>
        <s v="PO0146"/>
        <s v="PO0147"/>
        <s v="PO0148"/>
        <s v="PO0149"/>
        <s v="PO0150"/>
        <s v="PO0151"/>
        <s v="PO0152"/>
        <s v="PO0153"/>
        <s v="PO0154"/>
        <s v="PO0155"/>
        <s v="PO0156"/>
        <s v="PO0157"/>
        <s v="PO0158"/>
        <s v="PO0159"/>
        <s v="PO0160"/>
        <s v="PO0161"/>
        <s v="PO0162"/>
        <s v="PO0163"/>
        <s v="PO0164"/>
        <s v="PO0165"/>
        <s v="PO0166"/>
        <s v="PO0167"/>
        <s v="PO0168"/>
        <s v="PO0169"/>
        <s v="PO0170"/>
        <s v="PO0171"/>
        <s v="PO0172"/>
        <s v="PO0173"/>
        <s v="PO0174"/>
        <s v="PO0175"/>
        <s v="PO0176"/>
        <s v="PO0177"/>
        <s v="PO0178"/>
        <s v="PO0179"/>
        <s v="PO0180"/>
        <s v="PO0181"/>
        <s v="PO0182"/>
        <s v="PO0183"/>
        <s v="PO0184"/>
        <s v="PO0185"/>
        <s v="PO0186"/>
        <s v="PO0187"/>
        <s v="PO0188"/>
        <s v="PO0189"/>
        <s v="PO0190"/>
        <s v="PO0191"/>
        <s v="PO0192"/>
        <s v="PO0193"/>
        <s v="PO0194"/>
        <s v="PO0195"/>
        <s v="PO0196"/>
        <s v="PO0197"/>
        <s v="PO0198"/>
        <s v="PO0199"/>
        <s v="PO0200"/>
        <s v="PO0201"/>
        <s v="PO0202"/>
        <s v="PO0203"/>
        <s v="PO0204"/>
        <s v="PO0205"/>
        <s v="PO0206"/>
        <s v="PO0207"/>
        <s v="PO0208"/>
        <s v="PO0209"/>
        <s v="PO0210"/>
        <s v="PO0211"/>
        <s v="PO0212"/>
        <s v="PO0213"/>
        <s v="PO0214"/>
        <s v="PO0215"/>
        <s v="PO0216"/>
        <s v="PO0217"/>
        <s v="PO0218"/>
        <s v="PO0219"/>
        <s v="PO0220"/>
        <s v="PO0221"/>
        <s v="PO0222"/>
        <s v="PO0223"/>
        <s v="PO0224"/>
        <s v="PO0225"/>
        <s v="PO0226"/>
        <s v="PO0227"/>
        <s v="PO0228"/>
        <s v="PO0229"/>
        <s v="PO0230"/>
        <s v="PO0231"/>
        <s v="PO0232"/>
        <s v="PO0233"/>
        <s v="PO0234"/>
        <s v="PO0235"/>
        <s v="PO0236"/>
        <s v="PO0237"/>
        <s v="PO0238"/>
        <s v="PO0239"/>
        <s v="PO0240"/>
        <s v="PO0241"/>
        <s v="PO0242"/>
        <s v="PO0243"/>
        <s v="PO0244"/>
        <s v="PO0245"/>
        <s v="PO0246"/>
        <s v="PO0247"/>
        <s v="PO0248"/>
        <s v="PO0249"/>
        <s v="PO0250"/>
        <s v="PO0251"/>
        <s v="PO0252"/>
        <s v="PO0253"/>
        <s v="PO0254"/>
        <s v="PO0255"/>
        <s v="PO0256"/>
        <s v="PO0257"/>
        <s v="PO0258"/>
        <s v="PO0259"/>
        <s v="PO0260"/>
        <s v="PO0261"/>
        <s v="PO0262"/>
        <s v="PO0263"/>
        <s v="PO0264"/>
        <s v="PO0265"/>
        <s v="PO0266"/>
        <s v="PO0267"/>
        <s v="PO0268"/>
        <s v="PO0269"/>
        <s v="PO0270"/>
        <s v="PO0271"/>
        <s v="PO0272"/>
        <s v="PO0273"/>
        <s v="PO0274"/>
        <s v="PO0275"/>
        <s v="PO0276"/>
        <s v="PO0277"/>
        <s v="PO0278"/>
        <s v="PO0279"/>
        <s v="PO0280"/>
        <s v="PO0281"/>
        <s v="PO0282"/>
        <s v="PO0283"/>
        <s v="PO0284"/>
        <s v="PO0285"/>
        <s v="PO0286"/>
        <s v="PO0287"/>
        <s v="PO0288"/>
        <s v="PO0289"/>
        <s v="PO0290"/>
        <s v="PO0291"/>
        <s v="PO0292"/>
        <s v="PO0293"/>
        <s v="PO0294"/>
        <s v="PO0295"/>
        <s v="PO0296"/>
        <s v="PO0297"/>
        <s v="PO0298"/>
        <s v="PO0299"/>
        <s v="PO0300"/>
        <s v="PO0301"/>
        <s v="PO0302"/>
        <s v="PO0303"/>
        <s v="PO0304"/>
        <s v="PO0305"/>
        <s v="PO0306"/>
        <s v="PO0307"/>
        <s v="PO0308"/>
        <s v="PO0309"/>
        <s v="PO0310"/>
        <s v="PO0311"/>
        <s v="PO0312"/>
        <s v="PO0313"/>
        <s v="PO0314"/>
        <s v="PO0315"/>
        <s v="PO0316"/>
        <s v="PO0317"/>
        <s v="PO0318"/>
        <s v="PO0319"/>
        <s v="PO0320"/>
        <s v="PO0321"/>
        <s v="PO0322"/>
        <s v="PO0323"/>
        <s v="PO0324"/>
        <s v="PO0325"/>
        <s v="PO0326"/>
        <s v="PO0327"/>
        <s v="PO0328"/>
        <s v="PO0329"/>
        <s v="PO0330"/>
        <s v="PO0331"/>
        <s v="PO0332"/>
        <s v="PO0333"/>
        <s v="PO0334"/>
        <s v="PO0335"/>
        <s v="PO0336"/>
        <s v="PO0337"/>
        <s v="PO0338"/>
        <s v="PO0339"/>
        <s v="PO0340"/>
        <s v="PO0341"/>
        <s v="PO0342"/>
        <s v="PO0343"/>
        <s v="PO0344"/>
        <s v="PO0345"/>
        <s v="PO0346"/>
        <s v="PO0347"/>
        <s v="PO0348"/>
        <s v="PO0349"/>
        <s v="PO0350"/>
        <s v="PO0351"/>
        <s v="PO0352"/>
        <s v="PO0353"/>
        <s v="PO0354"/>
        <s v="PO0355"/>
        <s v="PO0356"/>
        <s v="PO0357"/>
        <s v="PO0358"/>
        <s v="PO0359"/>
        <s v="PO0360"/>
        <s v="PO0361"/>
        <s v="PO0362"/>
        <s v="PO0363"/>
        <s v="PO0364"/>
        <s v="PO0365"/>
        <s v="PO0366"/>
        <s v="PO0367"/>
        <s v="PO0368"/>
        <s v="PO0369"/>
        <s v="PO0370"/>
        <s v="PO0371"/>
        <s v="PO0372"/>
        <s v="PO0373"/>
        <s v="PO0374"/>
        <s v="PO0375"/>
        <s v="PO0376"/>
        <s v="PO0377"/>
        <s v="PO0378"/>
        <s v="PO0379"/>
        <s v="PO0380"/>
        <s v="PO0381"/>
        <s v="PO0382"/>
        <s v="PO0383"/>
        <s v="PO0384"/>
        <s v="PO0385"/>
        <s v="PO0386"/>
        <s v="PO0387"/>
        <s v="PO0388"/>
        <s v="PO0389"/>
        <s v="PO0390"/>
        <s v="PO0391"/>
        <s v="PO0392"/>
        <s v="PO0393"/>
        <s v="PO0394"/>
        <s v="PO0395"/>
        <s v="PO0396"/>
        <s v="PO0397"/>
        <s v="PO0398"/>
        <s v="PO0399"/>
        <s v="PO0400"/>
        <s v="PO0401"/>
        <s v="PO0402"/>
        <s v="PO0403"/>
        <s v="PO0404"/>
        <s v="PO0405"/>
        <s v="PO0406"/>
        <s v="PO0407"/>
        <s v="PO0408"/>
        <s v="PO0409"/>
        <s v="PO0410"/>
        <s v="PO0411"/>
        <s v="PO0412"/>
        <s v="PO0413"/>
        <s v="PO0414"/>
        <s v="PO0415"/>
        <s v="PO0416"/>
        <s v="PO0417"/>
        <s v="PO0418"/>
        <s v="PO0419"/>
        <s v="PO0420"/>
        <s v="PO0421"/>
        <s v="PO0422"/>
        <s v="PO0423"/>
        <s v="PO0424"/>
        <s v="PO0425"/>
        <s v="PO0426"/>
        <s v="PO0427"/>
        <s v="PO0428"/>
        <s v="PO0429"/>
        <s v="PO0430"/>
        <s v="PO0431"/>
        <s v="PO0432"/>
        <s v="PO0433"/>
        <s v="PO0434"/>
        <s v="PO0435"/>
        <s v="PO0436"/>
        <s v="PO0437"/>
        <s v="PO0438"/>
        <s v="PO0439"/>
        <s v="PO0440"/>
        <s v="PO0441"/>
        <s v="PO0442"/>
        <s v="PO0443"/>
        <s v="PO0444"/>
        <s v="PO0445"/>
        <s v="PO0446"/>
        <s v="PO0447"/>
        <s v="PO0448"/>
        <s v="PO0449"/>
        <s v="PO0450"/>
        <s v="PO0451"/>
        <s v="PO0452"/>
        <s v="PO0453"/>
        <s v="PO0454"/>
        <s v="PO0455"/>
        <s v="PO0456"/>
        <s v="PO0457"/>
        <s v="PO0458"/>
        <s v="PO0459"/>
        <s v="PO0460"/>
        <s v="PO0461"/>
        <s v="PO0462"/>
        <s v="PO0463"/>
        <s v="PO0464"/>
        <s v="PO0465"/>
        <s v="PO0466"/>
        <s v="PO0467"/>
        <s v="PO0468"/>
        <s v="PO0469"/>
        <s v="PO0470"/>
        <s v="PO0471"/>
        <s v="PO0472"/>
        <s v="PO0473"/>
        <s v="PO0474"/>
        <s v="PO0475"/>
        <s v="PO0476"/>
        <s v="PO0477"/>
        <s v="PO0478"/>
        <s v="PO0479"/>
        <s v="PO0480"/>
        <s v="PO0481"/>
        <s v="PO0482"/>
        <s v="PO0483"/>
        <s v="PO0484"/>
        <s v="PO0485"/>
        <s v="PO0486"/>
        <s v="PO0487"/>
        <s v="PO0488"/>
        <s v="PO0489"/>
        <s v="PO0490"/>
        <s v="PO0491"/>
        <s v="PO0492"/>
        <s v="PO0493"/>
        <s v="PO0494"/>
        <s v="PO0495"/>
        <s v="PO0496"/>
        <s v="PO0497"/>
        <s v="PO0498"/>
        <s v="PO0499"/>
        <s v="PO0500"/>
        <s v="PO0501"/>
        <s v="PO0502"/>
        <s v="PO0503"/>
        <s v="PO0504"/>
        <s v="PO0505"/>
        <s v="PO0506"/>
        <s v="PO0507"/>
        <s v="PO0508"/>
        <s v="PO0509"/>
        <s v="PO0510"/>
        <s v="PO0511"/>
        <s v="PO0512"/>
        <s v="PO0513"/>
        <s v="PO0514"/>
        <s v="PO0515"/>
        <s v="PO0516"/>
        <s v="PO0517"/>
        <s v="PO0518"/>
        <s v="PO0519"/>
        <s v="PO0520"/>
        <s v="PO0521"/>
        <s v="PO0522"/>
        <s v="PO0523"/>
        <s v="PO0524"/>
        <s v="PO0525"/>
        <s v="PO0526"/>
        <s v="PO0527"/>
        <s v="PO0528"/>
        <s v="PO0529"/>
        <s v="PO0530"/>
        <s v="PO0531"/>
        <s v="PO0532"/>
        <s v="PO0533"/>
        <s v="PO0534"/>
        <s v="PO0535"/>
        <s v="PO0536"/>
        <s v="PO0537"/>
        <s v="PO0538"/>
        <s v="PO0539"/>
        <s v="PO0540"/>
        <s v="PO0541"/>
        <s v="PO0542"/>
        <s v="PO0543"/>
        <s v="PO0544"/>
        <s v="PO0545"/>
        <s v="PO0546"/>
        <s v="PO0547"/>
        <s v="PO0548"/>
        <s v="PO0549"/>
        <s v="PO0550"/>
        <s v="PO0551"/>
        <s v="PO0552"/>
        <s v="PO0553"/>
        <s v="PO0554"/>
        <s v="PO0555"/>
        <s v="PO0556"/>
        <s v="PO0557"/>
        <s v="PO0558"/>
        <s v="PO0559"/>
        <s v="PO0560"/>
        <s v="PO0561"/>
        <s v="PO0562"/>
        <s v="PO0563"/>
        <s v="PO0564"/>
        <s v="PO0565"/>
        <s v="PO0566"/>
        <s v="PO0567"/>
        <s v="PO0568"/>
        <s v="PO0569"/>
        <s v="PO0570"/>
        <s v="PO0571"/>
        <s v="PO0572"/>
        <s v="PO0573"/>
        <s v="PO0574"/>
        <s v="PO0575"/>
        <s v="PO0576"/>
        <s v="PO0577"/>
        <s v="PO0578"/>
        <s v="PO0579"/>
        <s v="PO0580"/>
        <s v="PO0581"/>
        <s v="PO0582"/>
        <s v="PO0583"/>
        <s v="PO0584"/>
        <s v="PO0585"/>
        <s v="PO0586"/>
        <s v="PO0587"/>
        <s v="PO0588"/>
        <s v="PO0589"/>
        <s v="PO0590"/>
        <s v="PO0591"/>
        <s v="PO0592"/>
        <s v="PO0593"/>
        <s v="PO0594"/>
        <s v="PO0595"/>
        <s v="PO0596"/>
        <s v="PO0597"/>
        <s v="PO0598"/>
        <s v="PO0599"/>
        <s v="PO0600"/>
        <s v="PO0601"/>
        <s v="PO0602"/>
        <s v="PO0603"/>
        <s v="PO0604"/>
        <s v="PO0605"/>
        <s v="PO0606"/>
        <s v="PO0607"/>
        <s v="PO0608"/>
        <s v="PO0609"/>
        <s v="PO0610"/>
        <s v="PO0611"/>
        <s v="PO0612"/>
        <s v="PO0613"/>
        <s v="PO0614"/>
        <s v="PO0615"/>
        <s v="PO0616"/>
        <s v="PO0617"/>
        <s v="PO0618"/>
        <s v="PO0619"/>
        <s v="PO0620"/>
        <s v="PO0621"/>
        <s v="PO0622"/>
        <s v="PO0623"/>
        <s v="PO0624"/>
        <s v="PO0625"/>
        <s v="PO0626"/>
        <s v="PO0627"/>
        <s v="PO0628"/>
        <s v="PO0629"/>
        <s v="PO0630"/>
        <s v="PO0631"/>
        <s v="PO0632"/>
        <s v="PO0633"/>
        <s v="PO0634"/>
        <s v="PO0635"/>
        <s v="PO0636"/>
        <s v="PO0637"/>
        <s v="PO0638"/>
        <s v="PO0639"/>
        <s v="PO0640"/>
        <s v="PO0641"/>
        <s v="PO0642"/>
        <s v="PO0643"/>
        <s v="PO0644"/>
        <s v="PO0645"/>
        <s v="PO0646"/>
        <s v="PO0647"/>
        <s v="PO0648"/>
        <s v="PO0649"/>
        <s v="PO0650"/>
        <s v="PO0651"/>
        <s v="PO0652"/>
        <s v="PO0653"/>
        <s v="PO0654"/>
        <s v="PO0655"/>
        <s v="PO0656"/>
        <s v="PO0657"/>
        <s v="PO0658"/>
        <s v="PO0659"/>
        <s v="PO0660"/>
        <s v="PO0661"/>
        <s v="PO0662"/>
        <s v="PO0663"/>
        <s v="PO0664"/>
        <s v="PO0665"/>
        <s v="PO0666"/>
        <s v="PO0667"/>
        <s v="PO0668"/>
        <s v="PO0669"/>
        <s v="PO0670"/>
        <s v="PO0671"/>
        <s v="PO0672"/>
        <s v="PO0673"/>
        <s v="PO0674"/>
        <s v="PO0675"/>
        <s v="PO0676"/>
        <s v="PO0677"/>
        <s v="PO0678"/>
        <s v="PO0679"/>
        <s v="PO0680"/>
        <s v="PO0681"/>
        <s v="PO0682"/>
        <s v="PO0683"/>
        <s v="PO0684"/>
        <s v="PO0685"/>
        <s v="PO0686"/>
        <s v="PO0687"/>
        <s v="PO0688"/>
        <s v="PO0689"/>
        <s v="PO0690"/>
        <s v="PO0691"/>
        <s v="PO0692"/>
        <s v="PO0693"/>
        <s v="PO0694"/>
        <s v="PO0695"/>
        <s v="PO0696"/>
        <s v="PO0697"/>
        <s v="PO0698"/>
        <s v="PO0699"/>
        <s v="PO0700"/>
        <s v="PO0701"/>
        <s v="PO0702"/>
        <s v="PO0703"/>
        <s v="PO0704"/>
        <s v="PO0705"/>
        <s v="PO0706"/>
        <s v="PO0707"/>
        <s v="PO0708"/>
        <s v="PO0709"/>
        <s v="PO0710"/>
        <s v="PO0711"/>
        <s v="PO0712"/>
        <s v="PO0713"/>
        <s v="PO0714"/>
        <s v="PO0715"/>
        <s v="PO0716"/>
        <s v="PO0717"/>
        <s v="PO0718"/>
        <s v="PO0719"/>
        <s v="PO0720"/>
        <s v="PO0721"/>
        <s v="PO0722"/>
        <s v="PO0723"/>
        <s v="PO0724"/>
        <s v="PO0725"/>
        <s v="PO0726"/>
        <s v="PO0727"/>
        <s v="PO0728"/>
        <s v="PO0729"/>
        <s v="PO0730"/>
        <s v="PO0731"/>
        <s v="PO0732"/>
        <s v="PO0733"/>
        <s v="PO0734"/>
        <s v="PO0735"/>
        <s v="PO0736"/>
        <s v="PO0737"/>
        <s v="PO0738"/>
        <s v="PO0739"/>
        <s v="PO0740"/>
        <s v="PO0741"/>
        <s v="PO0742"/>
        <s v="PO0743"/>
        <s v="PO0744"/>
        <s v="PO0745"/>
        <s v="PO0746"/>
        <s v="PO0747"/>
        <s v="PO0748"/>
        <s v="PO0749"/>
        <s v="PO0750"/>
        <s v="PO0751"/>
        <s v="PO0752"/>
        <s v="PO0753"/>
        <s v="PO0754"/>
        <s v="PO0755"/>
        <s v="PO0756"/>
        <s v="PO0757"/>
        <s v="PO0758"/>
        <s v="PO0759"/>
        <s v="PO0760"/>
        <s v="PO0761"/>
        <s v="PO0762"/>
        <s v="PO0763"/>
        <s v="PO0764"/>
        <s v="PO0765"/>
        <s v="PO0766"/>
        <s v="PO0767"/>
        <s v="PO0768"/>
        <s v="PO0769"/>
        <s v="PO0770"/>
        <s v="PO0771"/>
        <s v="PO0772"/>
        <s v="PO0773"/>
        <s v="PO0774"/>
        <s v="PO0775"/>
        <s v="PO0776"/>
        <s v="PO0777"/>
        <s v="PO0778"/>
        <s v="PO0779"/>
        <s v="PO0780"/>
        <s v="PO0781"/>
        <s v="PO0782"/>
        <s v="PO0783"/>
        <s v="PO0784"/>
        <s v="PO0785"/>
        <s v="PO0786"/>
        <s v="PO0787"/>
        <s v="PO0788"/>
        <s v="PO0789"/>
        <s v="PO0790"/>
        <s v="PO0791"/>
        <s v="PO0792"/>
        <s v="PO0793"/>
        <s v="PO0794"/>
        <s v="PO0795"/>
        <s v="PO0796"/>
        <s v="PO0797"/>
        <s v="PO0798"/>
        <s v="PO0799"/>
        <s v="PO0800"/>
        <s v="PO0801"/>
        <s v="PO0802"/>
        <s v="PO0803"/>
        <s v="PO0804"/>
        <s v="PO0805"/>
        <s v="PO0806"/>
        <s v="PO0807"/>
        <s v="PO0808"/>
        <s v="PO0809"/>
        <s v="PO0810"/>
        <s v="PO0811"/>
        <s v="PO0812"/>
        <s v="PO0813"/>
        <s v="PO0814"/>
        <s v="PO0815"/>
        <s v="PO0816"/>
        <s v="PO0817"/>
        <s v="PO0818"/>
        <s v="PO0819"/>
        <s v="PO0820"/>
        <s v="PO0821"/>
        <s v="PO0822"/>
        <s v="PO0823"/>
        <s v="PO0824"/>
        <s v="PO0825"/>
        <s v="PO0826"/>
        <s v="PO0827"/>
        <s v="PO0828"/>
        <s v="PO0829"/>
        <s v="PO0830"/>
        <s v="PO0831"/>
        <s v="PO0832"/>
        <s v="PO0833"/>
        <s v="PO0834"/>
        <s v="PO0835"/>
        <s v="PO0836"/>
        <s v="PO0837"/>
        <s v="PO0838"/>
        <s v="PO0839"/>
        <s v="PO0840"/>
        <s v="PO0841"/>
        <s v="PO0842"/>
        <s v="PO0843"/>
        <s v="PO0844"/>
        <s v="PO0845"/>
        <s v="PO0846"/>
        <s v="PO0847"/>
        <s v="PO0848"/>
        <s v="PO0849"/>
        <s v="PO0850"/>
        <s v="PO0851"/>
        <s v="PO0852"/>
        <s v="PO0853"/>
        <s v="PO0854"/>
        <s v="PO0855"/>
        <s v="PO0856"/>
        <s v="PO0857"/>
        <s v="PO0858"/>
        <s v="PO0859"/>
        <s v="PO0860"/>
        <s v="PO0861"/>
        <s v="PO0862"/>
        <s v="PO0863"/>
        <s v="PO0864"/>
        <s v="PO0865"/>
        <s v="PO0866"/>
        <s v="PO0867"/>
        <s v="PO0868"/>
        <s v="PO0869"/>
        <s v="PO0870"/>
        <s v="PO0871"/>
        <s v="PO0872"/>
        <s v="PO0873"/>
        <s v="PO0874"/>
        <s v="PO0875"/>
        <s v="PO0876"/>
        <s v="PO0877"/>
        <s v="PO0878"/>
        <s v="PO0879"/>
        <s v="PO0880"/>
        <s v="PO0881"/>
        <s v="PO0882"/>
        <s v="PO0883"/>
        <s v="PO0884"/>
        <s v="PO0885"/>
        <s v="PO0886"/>
        <s v="PO0887"/>
        <s v="PO0888"/>
        <s v="PO0889"/>
        <s v="PO0890"/>
        <s v="PO0891"/>
        <s v="PO0892"/>
        <s v="PO0893"/>
        <s v="PO0894"/>
        <s v="PO0895"/>
        <s v="PO0896"/>
        <s v="PO0897"/>
        <s v="PO0898"/>
        <s v="PO0899"/>
        <s v="PO0900"/>
        <s v="PO0901"/>
        <s v="PO0902"/>
        <s v="PO0903"/>
        <s v="PO0904"/>
        <s v="PO0905"/>
        <s v="PO0906"/>
        <s v="PO0907"/>
        <s v="PO0908"/>
        <s v="PO0909"/>
        <s v="PO0910"/>
        <s v="PO0911"/>
        <s v="PO0912"/>
        <s v="PO0913"/>
        <s v="PO0914"/>
        <s v="PO0915"/>
        <s v="PO0916"/>
        <s v="PO0917"/>
        <s v="PO0918"/>
        <s v="PO0919"/>
        <s v="PO0920"/>
        <s v="PO0921"/>
        <s v="PO0922"/>
        <s v="PO0923"/>
        <s v="PO0924"/>
        <s v="PO0925"/>
        <s v="PO0926"/>
        <s v="PO0927"/>
        <s v="PO0928"/>
        <s v="PO0929"/>
        <s v="PO0930"/>
        <s v="PO0931"/>
        <s v="PO0932"/>
        <s v="PO0933"/>
        <s v="PO0934"/>
        <s v="PO0935"/>
        <s v="PO0936"/>
        <s v="PO0937"/>
        <s v="PO0938"/>
        <s v="PO0939"/>
        <s v="PO0940"/>
        <s v="PO0941"/>
        <s v="PO0942"/>
        <s v="PO0943"/>
        <s v="PO0944"/>
        <s v="PO0945"/>
        <s v="PO0946"/>
        <s v="PO0947"/>
        <s v="PO0948"/>
        <s v="PO0949"/>
        <s v="PO0950"/>
        <s v="PO0951"/>
        <s v="PO0952"/>
        <s v="PO0953"/>
        <s v="PO0954"/>
        <s v="PO0955"/>
        <s v="PO0956"/>
        <s v="PO0957"/>
        <s v="PO0958"/>
        <s v="PO0959"/>
        <s v="PO0960"/>
        <s v="PO0961"/>
        <s v="PO0962"/>
        <s v="PO0963"/>
        <s v="PO0964"/>
        <s v="PO0965"/>
        <s v="PO0966"/>
        <s v="PO0967"/>
        <s v="PO0968"/>
        <s v="PO0969"/>
        <s v="PO0970"/>
        <s v="PO0971"/>
        <s v="PO0972"/>
        <s v="PO0973"/>
        <s v="PO0974"/>
        <s v="PO0975"/>
        <s v="PO0976"/>
        <s v="PO0977"/>
        <s v="PO0978"/>
        <s v="PO0979"/>
        <s v="PO0980"/>
        <s v="PO0981"/>
        <s v="PO0982"/>
        <s v="PO0983"/>
        <s v="PO0984"/>
        <s v="PO0985"/>
        <s v="PO0986"/>
        <s v="PO0987"/>
        <s v="PO0988"/>
        <s v="PO0989"/>
        <s v="PO0990"/>
        <s v="PO0991"/>
        <s v="PO0992"/>
        <s v="PO0993"/>
        <s v="PO0994"/>
        <s v="PO0995"/>
        <s v="PO0996"/>
        <s v="PO0997"/>
        <s v="PO0998"/>
        <s v="PO0999"/>
        <s v="PO1000"/>
      </sharedItems>
    </cacheField>
    <cacheField name="Delivery Status" numFmtId="0">
      <sharedItems count="2">
        <s v="On-time"/>
        <s v="Late"/>
      </sharedItems>
    </cacheField>
    <cacheField name="Defects" numFmtId="0">
      <sharedItems count="2">
        <s v="No"/>
        <s v="Yes"/>
      </sharedItems>
    </cacheField>
    <cacheField name="Buyer" numFmtId="0">
      <sharedItems count="6">
        <s v="Sarah Malik"/>
        <s v="Emily Carter"/>
        <s v="Michael Turner"/>
        <s v="James Nolan"/>
        <s v="Daniel Reed"/>
        <s v="Olivia Brooks"/>
      </sharedItems>
    </cacheField>
    <cacheField name="Spend Type" numFmtId="0">
      <sharedItems/>
    </cacheField>
    <cacheField name="Contract Type" numFmtId="0">
      <sharedItems/>
    </cacheField>
    <cacheField name="Supplier Risk Score" numFmtId="0">
      <sharedItems containsSemiMixedTypes="0" containsString="0" containsNumber="1" containsInteger="1" minValue="1" maxValue="5" count="5">
        <n v="1"/>
        <n v="3"/>
        <n v="2"/>
        <n v="4"/>
        <n v="5"/>
      </sharedItems>
    </cacheField>
    <cacheField name="Payment Terms" numFmtId="0">
      <sharedItems containsSemiMixedTypes="0" containsString="0" containsNumber="1" containsInteger="1" minValue="30" maxValue="90"/>
    </cacheField>
    <cacheField name="Invoice Status" numFmtId="0">
      <sharedItems count="3">
        <s v="Overdue"/>
        <s v="Paid"/>
        <s v="Pending"/>
      </sharedItems>
    </cacheField>
    <cacheField name="Lead Time (days)" numFmtId="0">
      <sharedItems containsSemiMixedTypes="0" containsString="0" containsNumber="1" containsInteger="1" minValue="3" maxValue="20"/>
    </cacheField>
    <cacheField name="Days (Date)" numFmtId="0" databaseField="0">
      <fieldGroup base="0">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Date)" numFmtId="0" databaseField="0">
      <fieldGroup base="0">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17270163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x v="0"/>
    <x v="0"/>
    <s v="CAPEX"/>
    <s v="Fixed"/>
    <x v="0"/>
    <n v="60"/>
    <x v="0"/>
    <n v="4"/>
  </r>
  <r>
    <x v="1"/>
    <x v="1"/>
    <x v="1"/>
    <x v="1"/>
    <x v="1"/>
    <x v="1"/>
    <x v="1"/>
    <x v="0"/>
    <x v="1"/>
    <s v="OPEX"/>
    <s v="Retainer"/>
    <x v="1"/>
    <n v="45"/>
    <x v="0"/>
    <n v="18"/>
  </r>
  <r>
    <x v="2"/>
    <x v="2"/>
    <x v="2"/>
    <x v="2"/>
    <x v="1"/>
    <x v="2"/>
    <x v="0"/>
    <x v="1"/>
    <x v="0"/>
    <s v="OPEX"/>
    <s v="Retainer"/>
    <x v="2"/>
    <n v="45"/>
    <x v="1"/>
    <n v="9"/>
  </r>
  <r>
    <x v="3"/>
    <x v="3"/>
    <x v="3"/>
    <x v="3"/>
    <x v="2"/>
    <x v="3"/>
    <x v="1"/>
    <x v="0"/>
    <x v="1"/>
    <s v="OPEX"/>
    <s v="Variable"/>
    <x v="1"/>
    <n v="30"/>
    <x v="0"/>
    <n v="19"/>
  </r>
  <r>
    <x v="4"/>
    <x v="3"/>
    <x v="4"/>
    <x v="4"/>
    <x v="2"/>
    <x v="4"/>
    <x v="1"/>
    <x v="0"/>
    <x v="2"/>
    <s v="CAPEX"/>
    <s v="Variable"/>
    <x v="2"/>
    <n v="60"/>
    <x v="1"/>
    <n v="6"/>
  </r>
  <r>
    <x v="5"/>
    <x v="4"/>
    <x v="5"/>
    <x v="5"/>
    <x v="2"/>
    <x v="5"/>
    <x v="0"/>
    <x v="1"/>
    <x v="0"/>
    <s v="CAPEX"/>
    <s v="Retainer"/>
    <x v="2"/>
    <n v="90"/>
    <x v="1"/>
    <n v="19"/>
  </r>
  <r>
    <x v="6"/>
    <x v="0"/>
    <x v="4"/>
    <x v="6"/>
    <x v="2"/>
    <x v="6"/>
    <x v="0"/>
    <x v="0"/>
    <x v="3"/>
    <s v="CAPEX"/>
    <s v="Fixed"/>
    <x v="0"/>
    <n v="45"/>
    <x v="0"/>
    <n v="10"/>
  </r>
  <r>
    <x v="7"/>
    <x v="5"/>
    <x v="6"/>
    <x v="7"/>
    <x v="1"/>
    <x v="7"/>
    <x v="0"/>
    <x v="0"/>
    <x v="4"/>
    <s v="OPEX"/>
    <s v="Retainer"/>
    <x v="2"/>
    <n v="30"/>
    <x v="0"/>
    <n v="17"/>
  </r>
  <r>
    <x v="8"/>
    <x v="4"/>
    <x v="5"/>
    <x v="8"/>
    <x v="2"/>
    <x v="8"/>
    <x v="1"/>
    <x v="0"/>
    <x v="0"/>
    <s v="OPEX"/>
    <s v="Variable"/>
    <x v="0"/>
    <n v="60"/>
    <x v="0"/>
    <n v="11"/>
  </r>
  <r>
    <x v="9"/>
    <x v="6"/>
    <x v="2"/>
    <x v="9"/>
    <x v="0"/>
    <x v="9"/>
    <x v="1"/>
    <x v="0"/>
    <x v="5"/>
    <s v="CAPEX"/>
    <s v="Variable"/>
    <x v="2"/>
    <n v="30"/>
    <x v="2"/>
    <n v="3"/>
  </r>
  <r>
    <x v="10"/>
    <x v="7"/>
    <x v="7"/>
    <x v="10"/>
    <x v="1"/>
    <x v="10"/>
    <x v="1"/>
    <x v="0"/>
    <x v="2"/>
    <s v="CAPEX"/>
    <s v="Fixed"/>
    <x v="0"/>
    <n v="45"/>
    <x v="2"/>
    <n v="20"/>
  </r>
  <r>
    <x v="11"/>
    <x v="8"/>
    <x v="8"/>
    <x v="6"/>
    <x v="1"/>
    <x v="11"/>
    <x v="0"/>
    <x v="1"/>
    <x v="5"/>
    <s v="OPEX"/>
    <s v="Variable"/>
    <x v="3"/>
    <n v="90"/>
    <x v="2"/>
    <n v="7"/>
  </r>
  <r>
    <x v="12"/>
    <x v="0"/>
    <x v="2"/>
    <x v="11"/>
    <x v="1"/>
    <x v="12"/>
    <x v="1"/>
    <x v="1"/>
    <x v="3"/>
    <s v="CAPEX"/>
    <s v="Retainer"/>
    <x v="3"/>
    <n v="60"/>
    <x v="0"/>
    <n v="11"/>
  </r>
  <r>
    <x v="13"/>
    <x v="9"/>
    <x v="5"/>
    <x v="12"/>
    <x v="1"/>
    <x v="13"/>
    <x v="1"/>
    <x v="1"/>
    <x v="4"/>
    <s v="OPEX"/>
    <s v="Variable"/>
    <x v="2"/>
    <n v="90"/>
    <x v="0"/>
    <n v="16"/>
  </r>
  <r>
    <x v="14"/>
    <x v="3"/>
    <x v="7"/>
    <x v="13"/>
    <x v="0"/>
    <x v="14"/>
    <x v="0"/>
    <x v="1"/>
    <x v="0"/>
    <s v="CAPEX"/>
    <s v="Variable"/>
    <x v="4"/>
    <n v="45"/>
    <x v="1"/>
    <n v="9"/>
  </r>
  <r>
    <x v="15"/>
    <x v="4"/>
    <x v="8"/>
    <x v="14"/>
    <x v="2"/>
    <x v="15"/>
    <x v="0"/>
    <x v="1"/>
    <x v="2"/>
    <s v="OPEX"/>
    <s v="Variable"/>
    <x v="3"/>
    <n v="90"/>
    <x v="1"/>
    <n v="3"/>
  </r>
  <r>
    <x v="16"/>
    <x v="5"/>
    <x v="2"/>
    <x v="15"/>
    <x v="2"/>
    <x v="16"/>
    <x v="1"/>
    <x v="1"/>
    <x v="3"/>
    <s v="OPEX"/>
    <s v="Retainer"/>
    <x v="0"/>
    <n v="45"/>
    <x v="2"/>
    <n v="14"/>
  </r>
  <r>
    <x v="17"/>
    <x v="5"/>
    <x v="4"/>
    <x v="16"/>
    <x v="0"/>
    <x v="17"/>
    <x v="1"/>
    <x v="1"/>
    <x v="4"/>
    <s v="CAPEX"/>
    <s v="Fixed"/>
    <x v="1"/>
    <n v="90"/>
    <x v="2"/>
    <n v="8"/>
  </r>
  <r>
    <x v="18"/>
    <x v="3"/>
    <x v="6"/>
    <x v="17"/>
    <x v="1"/>
    <x v="18"/>
    <x v="0"/>
    <x v="0"/>
    <x v="3"/>
    <s v="CAPEX"/>
    <s v="Variable"/>
    <x v="2"/>
    <n v="90"/>
    <x v="0"/>
    <n v="14"/>
  </r>
  <r>
    <x v="19"/>
    <x v="8"/>
    <x v="5"/>
    <x v="18"/>
    <x v="0"/>
    <x v="19"/>
    <x v="1"/>
    <x v="1"/>
    <x v="3"/>
    <s v="CAPEX"/>
    <s v="Retainer"/>
    <x v="3"/>
    <n v="30"/>
    <x v="2"/>
    <n v="16"/>
  </r>
  <r>
    <x v="20"/>
    <x v="10"/>
    <x v="4"/>
    <x v="19"/>
    <x v="0"/>
    <x v="20"/>
    <x v="0"/>
    <x v="1"/>
    <x v="0"/>
    <s v="CAPEX"/>
    <s v="Fixed"/>
    <x v="2"/>
    <n v="60"/>
    <x v="2"/>
    <n v="4"/>
  </r>
  <r>
    <x v="21"/>
    <x v="1"/>
    <x v="4"/>
    <x v="20"/>
    <x v="2"/>
    <x v="21"/>
    <x v="0"/>
    <x v="0"/>
    <x v="4"/>
    <s v="OPEX"/>
    <s v="Retainer"/>
    <x v="0"/>
    <n v="90"/>
    <x v="1"/>
    <n v="13"/>
  </r>
  <r>
    <x v="22"/>
    <x v="6"/>
    <x v="7"/>
    <x v="21"/>
    <x v="0"/>
    <x v="22"/>
    <x v="0"/>
    <x v="1"/>
    <x v="2"/>
    <s v="CAPEX"/>
    <s v="Fixed"/>
    <x v="4"/>
    <n v="90"/>
    <x v="1"/>
    <n v="3"/>
  </r>
  <r>
    <x v="23"/>
    <x v="4"/>
    <x v="3"/>
    <x v="22"/>
    <x v="0"/>
    <x v="23"/>
    <x v="1"/>
    <x v="0"/>
    <x v="3"/>
    <s v="CAPEX"/>
    <s v="Retainer"/>
    <x v="3"/>
    <n v="90"/>
    <x v="1"/>
    <n v="15"/>
  </r>
  <r>
    <x v="24"/>
    <x v="1"/>
    <x v="9"/>
    <x v="14"/>
    <x v="0"/>
    <x v="24"/>
    <x v="0"/>
    <x v="0"/>
    <x v="2"/>
    <s v="OPEX"/>
    <s v="Retainer"/>
    <x v="2"/>
    <n v="90"/>
    <x v="0"/>
    <n v="12"/>
  </r>
  <r>
    <x v="25"/>
    <x v="11"/>
    <x v="4"/>
    <x v="23"/>
    <x v="2"/>
    <x v="25"/>
    <x v="1"/>
    <x v="0"/>
    <x v="0"/>
    <s v="OPEX"/>
    <s v="Fixed"/>
    <x v="0"/>
    <n v="30"/>
    <x v="0"/>
    <n v="5"/>
  </r>
  <r>
    <x v="26"/>
    <x v="8"/>
    <x v="3"/>
    <x v="24"/>
    <x v="1"/>
    <x v="26"/>
    <x v="0"/>
    <x v="0"/>
    <x v="1"/>
    <s v="CAPEX"/>
    <s v="Variable"/>
    <x v="3"/>
    <n v="90"/>
    <x v="0"/>
    <n v="10"/>
  </r>
  <r>
    <x v="27"/>
    <x v="2"/>
    <x v="4"/>
    <x v="25"/>
    <x v="2"/>
    <x v="27"/>
    <x v="1"/>
    <x v="0"/>
    <x v="3"/>
    <s v="OPEX"/>
    <s v="Fixed"/>
    <x v="3"/>
    <n v="90"/>
    <x v="1"/>
    <n v="11"/>
  </r>
  <r>
    <x v="28"/>
    <x v="1"/>
    <x v="2"/>
    <x v="26"/>
    <x v="0"/>
    <x v="28"/>
    <x v="1"/>
    <x v="1"/>
    <x v="5"/>
    <s v="CAPEX"/>
    <s v="Retainer"/>
    <x v="1"/>
    <n v="45"/>
    <x v="2"/>
    <n v="10"/>
  </r>
  <r>
    <x v="29"/>
    <x v="5"/>
    <x v="4"/>
    <x v="27"/>
    <x v="2"/>
    <x v="29"/>
    <x v="0"/>
    <x v="0"/>
    <x v="1"/>
    <s v="OPEX"/>
    <s v="Retainer"/>
    <x v="2"/>
    <n v="45"/>
    <x v="2"/>
    <n v="9"/>
  </r>
  <r>
    <x v="30"/>
    <x v="3"/>
    <x v="1"/>
    <x v="28"/>
    <x v="0"/>
    <x v="30"/>
    <x v="0"/>
    <x v="0"/>
    <x v="3"/>
    <s v="CAPEX"/>
    <s v="Variable"/>
    <x v="1"/>
    <n v="90"/>
    <x v="1"/>
    <n v="19"/>
  </r>
  <r>
    <x v="31"/>
    <x v="2"/>
    <x v="3"/>
    <x v="29"/>
    <x v="0"/>
    <x v="31"/>
    <x v="0"/>
    <x v="1"/>
    <x v="2"/>
    <s v="OPEX"/>
    <s v="Variable"/>
    <x v="4"/>
    <n v="30"/>
    <x v="2"/>
    <n v="9"/>
  </r>
  <r>
    <x v="32"/>
    <x v="10"/>
    <x v="4"/>
    <x v="30"/>
    <x v="2"/>
    <x v="32"/>
    <x v="1"/>
    <x v="1"/>
    <x v="0"/>
    <s v="CAPEX"/>
    <s v="Fixed"/>
    <x v="2"/>
    <n v="90"/>
    <x v="0"/>
    <n v="20"/>
  </r>
  <r>
    <x v="33"/>
    <x v="1"/>
    <x v="2"/>
    <x v="31"/>
    <x v="0"/>
    <x v="33"/>
    <x v="1"/>
    <x v="0"/>
    <x v="2"/>
    <s v="CAPEX"/>
    <s v="Fixed"/>
    <x v="0"/>
    <n v="60"/>
    <x v="2"/>
    <n v="20"/>
  </r>
  <r>
    <x v="34"/>
    <x v="10"/>
    <x v="7"/>
    <x v="32"/>
    <x v="1"/>
    <x v="34"/>
    <x v="0"/>
    <x v="1"/>
    <x v="5"/>
    <s v="OPEX"/>
    <s v="Retainer"/>
    <x v="1"/>
    <n v="30"/>
    <x v="0"/>
    <n v="9"/>
  </r>
  <r>
    <x v="35"/>
    <x v="2"/>
    <x v="4"/>
    <x v="33"/>
    <x v="1"/>
    <x v="35"/>
    <x v="1"/>
    <x v="0"/>
    <x v="3"/>
    <s v="CAPEX"/>
    <s v="Retainer"/>
    <x v="1"/>
    <n v="30"/>
    <x v="1"/>
    <n v="3"/>
  </r>
  <r>
    <x v="6"/>
    <x v="7"/>
    <x v="8"/>
    <x v="34"/>
    <x v="1"/>
    <x v="36"/>
    <x v="0"/>
    <x v="0"/>
    <x v="2"/>
    <s v="OPEX"/>
    <s v="Retainer"/>
    <x v="0"/>
    <n v="60"/>
    <x v="0"/>
    <n v="6"/>
  </r>
  <r>
    <x v="36"/>
    <x v="3"/>
    <x v="3"/>
    <x v="35"/>
    <x v="1"/>
    <x v="37"/>
    <x v="0"/>
    <x v="0"/>
    <x v="1"/>
    <s v="CAPEX"/>
    <s v="Variable"/>
    <x v="1"/>
    <n v="90"/>
    <x v="2"/>
    <n v="16"/>
  </r>
  <r>
    <x v="37"/>
    <x v="1"/>
    <x v="4"/>
    <x v="36"/>
    <x v="0"/>
    <x v="38"/>
    <x v="0"/>
    <x v="0"/>
    <x v="1"/>
    <s v="CAPEX"/>
    <s v="Retainer"/>
    <x v="0"/>
    <n v="90"/>
    <x v="2"/>
    <n v="14"/>
  </r>
  <r>
    <x v="38"/>
    <x v="10"/>
    <x v="7"/>
    <x v="34"/>
    <x v="1"/>
    <x v="39"/>
    <x v="1"/>
    <x v="1"/>
    <x v="5"/>
    <s v="OPEX"/>
    <s v="Retainer"/>
    <x v="0"/>
    <n v="45"/>
    <x v="1"/>
    <n v="5"/>
  </r>
  <r>
    <x v="39"/>
    <x v="2"/>
    <x v="3"/>
    <x v="37"/>
    <x v="0"/>
    <x v="40"/>
    <x v="1"/>
    <x v="0"/>
    <x v="0"/>
    <s v="OPEX"/>
    <s v="Variable"/>
    <x v="3"/>
    <n v="45"/>
    <x v="0"/>
    <n v="3"/>
  </r>
  <r>
    <x v="40"/>
    <x v="11"/>
    <x v="2"/>
    <x v="38"/>
    <x v="2"/>
    <x v="41"/>
    <x v="0"/>
    <x v="0"/>
    <x v="4"/>
    <s v="CAPEX"/>
    <s v="Fixed"/>
    <x v="1"/>
    <n v="45"/>
    <x v="2"/>
    <n v="7"/>
  </r>
  <r>
    <x v="41"/>
    <x v="9"/>
    <x v="7"/>
    <x v="39"/>
    <x v="0"/>
    <x v="42"/>
    <x v="1"/>
    <x v="1"/>
    <x v="3"/>
    <s v="CAPEX"/>
    <s v="Fixed"/>
    <x v="1"/>
    <n v="60"/>
    <x v="1"/>
    <n v="6"/>
  </r>
  <r>
    <x v="42"/>
    <x v="10"/>
    <x v="6"/>
    <x v="40"/>
    <x v="0"/>
    <x v="43"/>
    <x v="0"/>
    <x v="0"/>
    <x v="5"/>
    <s v="OPEX"/>
    <s v="Fixed"/>
    <x v="0"/>
    <n v="90"/>
    <x v="1"/>
    <n v="6"/>
  </r>
  <r>
    <x v="43"/>
    <x v="11"/>
    <x v="6"/>
    <x v="41"/>
    <x v="0"/>
    <x v="44"/>
    <x v="0"/>
    <x v="1"/>
    <x v="0"/>
    <s v="OPEX"/>
    <s v="Variable"/>
    <x v="4"/>
    <n v="90"/>
    <x v="2"/>
    <n v="18"/>
  </r>
  <r>
    <x v="44"/>
    <x v="4"/>
    <x v="0"/>
    <x v="42"/>
    <x v="1"/>
    <x v="45"/>
    <x v="1"/>
    <x v="1"/>
    <x v="4"/>
    <s v="OPEX"/>
    <s v="Variable"/>
    <x v="1"/>
    <n v="60"/>
    <x v="1"/>
    <n v="11"/>
  </r>
  <r>
    <x v="45"/>
    <x v="5"/>
    <x v="6"/>
    <x v="43"/>
    <x v="1"/>
    <x v="46"/>
    <x v="1"/>
    <x v="0"/>
    <x v="0"/>
    <s v="OPEX"/>
    <s v="Retainer"/>
    <x v="0"/>
    <n v="30"/>
    <x v="0"/>
    <n v="10"/>
  </r>
  <r>
    <x v="46"/>
    <x v="11"/>
    <x v="7"/>
    <x v="44"/>
    <x v="0"/>
    <x v="47"/>
    <x v="1"/>
    <x v="1"/>
    <x v="0"/>
    <s v="OPEX"/>
    <s v="Variable"/>
    <x v="1"/>
    <n v="30"/>
    <x v="0"/>
    <n v="17"/>
  </r>
  <r>
    <x v="24"/>
    <x v="0"/>
    <x v="2"/>
    <x v="45"/>
    <x v="2"/>
    <x v="48"/>
    <x v="1"/>
    <x v="0"/>
    <x v="1"/>
    <s v="CAPEX"/>
    <s v="Variable"/>
    <x v="0"/>
    <n v="60"/>
    <x v="2"/>
    <n v="3"/>
  </r>
  <r>
    <x v="47"/>
    <x v="9"/>
    <x v="0"/>
    <x v="46"/>
    <x v="1"/>
    <x v="49"/>
    <x v="0"/>
    <x v="1"/>
    <x v="3"/>
    <s v="OPEX"/>
    <s v="Variable"/>
    <x v="2"/>
    <n v="90"/>
    <x v="2"/>
    <n v="16"/>
  </r>
  <r>
    <x v="48"/>
    <x v="8"/>
    <x v="1"/>
    <x v="47"/>
    <x v="2"/>
    <x v="50"/>
    <x v="1"/>
    <x v="0"/>
    <x v="0"/>
    <s v="OPEX"/>
    <s v="Retainer"/>
    <x v="0"/>
    <n v="45"/>
    <x v="1"/>
    <n v="10"/>
  </r>
  <r>
    <x v="49"/>
    <x v="0"/>
    <x v="9"/>
    <x v="48"/>
    <x v="2"/>
    <x v="51"/>
    <x v="1"/>
    <x v="0"/>
    <x v="3"/>
    <s v="OPEX"/>
    <s v="Retainer"/>
    <x v="3"/>
    <n v="30"/>
    <x v="2"/>
    <n v="5"/>
  </r>
  <r>
    <x v="50"/>
    <x v="9"/>
    <x v="2"/>
    <x v="49"/>
    <x v="1"/>
    <x v="52"/>
    <x v="1"/>
    <x v="1"/>
    <x v="5"/>
    <s v="OPEX"/>
    <s v="Retainer"/>
    <x v="0"/>
    <n v="60"/>
    <x v="2"/>
    <n v="19"/>
  </r>
  <r>
    <x v="51"/>
    <x v="11"/>
    <x v="0"/>
    <x v="50"/>
    <x v="2"/>
    <x v="53"/>
    <x v="1"/>
    <x v="0"/>
    <x v="4"/>
    <s v="OPEX"/>
    <s v="Fixed"/>
    <x v="2"/>
    <n v="30"/>
    <x v="1"/>
    <n v="11"/>
  </r>
  <r>
    <x v="52"/>
    <x v="10"/>
    <x v="3"/>
    <x v="50"/>
    <x v="1"/>
    <x v="54"/>
    <x v="1"/>
    <x v="1"/>
    <x v="3"/>
    <s v="CAPEX"/>
    <s v="Variable"/>
    <x v="0"/>
    <n v="60"/>
    <x v="2"/>
    <n v="14"/>
  </r>
  <r>
    <x v="53"/>
    <x v="4"/>
    <x v="6"/>
    <x v="51"/>
    <x v="1"/>
    <x v="55"/>
    <x v="0"/>
    <x v="0"/>
    <x v="2"/>
    <s v="OPEX"/>
    <s v="Variable"/>
    <x v="3"/>
    <n v="60"/>
    <x v="0"/>
    <n v="16"/>
  </r>
  <r>
    <x v="54"/>
    <x v="1"/>
    <x v="7"/>
    <x v="15"/>
    <x v="0"/>
    <x v="56"/>
    <x v="0"/>
    <x v="1"/>
    <x v="3"/>
    <s v="CAPEX"/>
    <s v="Fixed"/>
    <x v="1"/>
    <n v="30"/>
    <x v="0"/>
    <n v="11"/>
  </r>
  <r>
    <x v="55"/>
    <x v="5"/>
    <x v="7"/>
    <x v="52"/>
    <x v="0"/>
    <x v="57"/>
    <x v="1"/>
    <x v="0"/>
    <x v="4"/>
    <s v="CAPEX"/>
    <s v="Variable"/>
    <x v="1"/>
    <n v="45"/>
    <x v="2"/>
    <n v="18"/>
  </r>
  <r>
    <x v="56"/>
    <x v="10"/>
    <x v="3"/>
    <x v="53"/>
    <x v="0"/>
    <x v="58"/>
    <x v="1"/>
    <x v="0"/>
    <x v="4"/>
    <s v="CAPEX"/>
    <s v="Fixed"/>
    <x v="2"/>
    <n v="90"/>
    <x v="0"/>
    <n v="6"/>
  </r>
  <r>
    <x v="57"/>
    <x v="2"/>
    <x v="0"/>
    <x v="54"/>
    <x v="0"/>
    <x v="59"/>
    <x v="0"/>
    <x v="1"/>
    <x v="2"/>
    <s v="OPEX"/>
    <s v="Variable"/>
    <x v="3"/>
    <n v="60"/>
    <x v="0"/>
    <n v="20"/>
  </r>
  <r>
    <x v="58"/>
    <x v="3"/>
    <x v="2"/>
    <x v="55"/>
    <x v="1"/>
    <x v="60"/>
    <x v="0"/>
    <x v="0"/>
    <x v="3"/>
    <s v="OPEX"/>
    <s v="Fixed"/>
    <x v="0"/>
    <n v="45"/>
    <x v="0"/>
    <n v="12"/>
  </r>
  <r>
    <x v="59"/>
    <x v="1"/>
    <x v="9"/>
    <x v="56"/>
    <x v="1"/>
    <x v="61"/>
    <x v="0"/>
    <x v="1"/>
    <x v="5"/>
    <s v="OPEX"/>
    <s v="Variable"/>
    <x v="2"/>
    <n v="90"/>
    <x v="0"/>
    <n v="14"/>
  </r>
  <r>
    <x v="60"/>
    <x v="4"/>
    <x v="9"/>
    <x v="57"/>
    <x v="2"/>
    <x v="62"/>
    <x v="1"/>
    <x v="0"/>
    <x v="0"/>
    <s v="CAPEX"/>
    <s v="Fixed"/>
    <x v="0"/>
    <n v="60"/>
    <x v="0"/>
    <n v="6"/>
  </r>
  <r>
    <x v="61"/>
    <x v="9"/>
    <x v="3"/>
    <x v="36"/>
    <x v="1"/>
    <x v="63"/>
    <x v="1"/>
    <x v="0"/>
    <x v="0"/>
    <s v="CAPEX"/>
    <s v="Retainer"/>
    <x v="4"/>
    <n v="45"/>
    <x v="1"/>
    <n v="17"/>
  </r>
  <r>
    <x v="62"/>
    <x v="9"/>
    <x v="0"/>
    <x v="58"/>
    <x v="2"/>
    <x v="64"/>
    <x v="1"/>
    <x v="1"/>
    <x v="1"/>
    <s v="OPEX"/>
    <s v="Fixed"/>
    <x v="3"/>
    <n v="60"/>
    <x v="2"/>
    <n v="19"/>
  </r>
  <r>
    <x v="63"/>
    <x v="4"/>
    <x v="7"/>
    <x v="59"/>
    <x v="0"/>
    <x v="65"/>
    <x v="1"/>
    <x v="1"/>
    <x v="3"/>
    <s v="OPEX"/>
    <s v="Variable"/>
    <x v="1"/>
    <n v="60"/>
    <x v="0"/>
    <n v="4"/>
  </r>
  <r>
    <x v="64"/>
    <x v="4"/>
    <x v="7"/>
    <x v="60"/>
    <x v="2"/>
    <x v="66"/>
    <x v="0"/>
    <x v="0"/>
    <x v="1"/>
    <s v="CAPEX"/>
    <s v="Variable"/>
    <x v="0"/>
    <n v="90"/>
    <x v="1"/>
    <n v="13"/>
  </r>
  <r>
    <x v="65"/>
    <x v="1"/>
    <x v="1"/>
    <x v="61"/>
    <x v="1"/>
    <x v="67"/>
    <x v="1"/>
    <x v="1"/>
    <x v="1"/>
    <s v="CAPEX"/>
    <s v="Retainer"/>
    <x v="0"/>
    <n v="45"/>
    <x v="1"/>
    <n v="3"/>
  </r>
  <r>
    <x v="66"/>
    <x v="9"/>
    <x v="9"/>
    <x v="62"/>
    <x v="2"/>
    <x v="68"/>
    <x v="0"/>
    <x v="1"/>
    <x v="5"/>
    <s v="OPEX"/>
    <s v="Retainer"/>
    <x v="1"/>
    <n v="60"/>
    <x v="0"/>
    <n v="7"/>
  </r>
  <r>
    <x v="67"/>
    <x v="4"/>
    <x v="0"/>
    <x v="63"/>
    <x v="2"/>
    <x v="69"/>
    <x v="0"/>
    <x v="1"/>
    <x v="1"/>
    <s v="OPEX"/>
    <s v="Fixed"/>
    <x v="0"/>
    <n v="60"/>
    <x v="2"/>
    <n v="17"/>
  </r>
  <r>
    <x v="68"/>
    <x v="5"/>
    <x v="0"/>
    <x v="64"/>
    <x v="1"/>
    <x v="70"/>
    <x v="0"/>
    <x v="0"/>
    <x v="5"/>
    <s v="OPEX"/>
    <s v="Fixed"/>
    <x v="1"/>
    <n v="30"/>
    <x v="1"/>
    <n v="10"/>
  </r>
  <r>
    <x v="69"/>
    <x v="3"/>
    <x v="8"/>
    <x v="65"/>
    <x v="1"/>
    <x v="71"/>
    <x v="0"/>
    <x v="1"/>
    <x v="0"/>
    <s v="OPEX"/>
    <s v="Fixed"/>
    <x v="3"/>
    <n v="45"/>
    <x v="0"/>
    <n v="3"/>
  </r>
  <r>
    <x v="70"/>
    <x v="11"/>
    <x v="0"/>
    <x v="66"/>
    <x v="0"/>
    <x v="72"/>
    <x v="0"/>
    <x v="0"/>
    <x v="1"/>
    <s v="CAPEX"/>
    <s v="Retainer"/>
    <x v="3"/>
    <n v="45"/>
    <x v="1"/>
    <n v="10"/>
  </r>
  <r>
    <x v="29"/>
    <x v="6"/>
    <x v="5"/>
    <x v="67"/>
    <x v="2"/>
    <x v="73"/>
    <x v="0"/>
    <x v="0"/>
    <x v="2"/>
    <s v="CAPEX"/>
    <s v="Retainer"/>
    <x v="3"/>
    <n v="45"/>
    <x v="2"/>
    <n v="8"/>
  </r>
  <r>
    <x v="71"/>
    <x v="4"/>
    <x v="6"/>
    <x v="68"/>
    <x v="0"/>
    <x v="74"/>
    <x v="0"/>
    <x v="0"/>
    <x v="0"/>
    <s v="CAPEX"/>
    <s v="Fixed"/>
    <x v="1"/>
    <n v="45"/>
    <x v="2"/>
    <n v="15"/>
  </r>
  <r>
    <x v="72"/>
    <x v="0"/>
    <x v="9"/>
    <x v="69"/>
    <x v="2"/>
    <x v="75"/>
    <x v="0"/>
    <x v="1"/>
    <x v="5"/>
    <s v="CAPEX"/>
    <s v="Variable"/>
    <x v="3"/>
    <n v="60"/>
    <x v="2"/>
    <n v="6"/>
  </r>
  <r>
    <x v="73"/>
    <x v="5"/>
    <x v="4"/>
    <x v="70"/>
    <x v="2"/>
    <x v="76"/>
    <x v="1"/>
    <x v="0"/>
    <x v="1"/>
    <s v="OPEX"/>
    <s v="Retainer"/>
    <x v="0"/>
    <n v="60"/>
    <x v="0"/>
    <n v="18"/>
  </r>
  <r>
    <x v="74"/>
    <x v="10"/>
    <x v="0"/>
    <x v="33"/>
    <x v="1"/>
    <x v="77"/>
    <x v="1"/>
    <x v="1"/>
    <x v="2"/>
    <s v="OPEX"/>
    <s v="Variable"/>
    <x v="3"/>
    <n v="90"/>
    <x v="2"/>
    <n v="17"/>
  </r>
  <r>
    <x v="75"/>
    <x v="3"/>
    <x v="4"/>
    <x v="71"/>
    <x v="1"/>
    <x v="78"/>
    <x v="1"/>
    <x v="0"/>
    <x v="3"/>
    <s v="CAPEX"/>
    <s v="Fixed"/>
    <x v="0"/>
    <n v="30"/>
    <x v="0"/>
    <n v="12"/>
  </r>
  <r>
    <x v="76"/>
    <x v="2"/>
    <x v="9"/>
    <x v="72"/>
    <x v="0"/>
    <x v="79"/>
    <x v="1"/>
    <x v="0"/>
    <x v="3"/>
    <s v="CAPEX"/>
    <s v="Retainer"/>
    <x v="2"/>
    <n v="45"/>
    <x v="0"/>
    <n v="16"/>
  </r>
  <r>
    <x v="77"/>
    <x v="7"/>
    <x v="1"/>
    <x v="73"/>
    <x v="2"/>
    <x v="80"/>
    <x v="1"/>
    <x v="1"/>
    <x v="0"/>
    <s v="OPEX"/>
    <s v="Retainer"/>
    <x v="1"/>
    <n v="90"/>
    <x v="0"/>
    <n v="14"/>
  </r>
  <r>
    <x v="48"/>
    <x v="10"/>
    <x v="0"/>
    <x v="74"/>
    <x v="0"/>
    <x v="81"/>
    <x v="1"/>
    <x v="0"/>
    <x v="0"/>
    <s v="CAPEX"/>
    <s v="Fixed"/>
    <x v="2"/>
    <n v="90"/>
    <x v="2"/>
    <n v="8"/>
  </r>
  <r>
    <x v="78"/>
    <x v="10"/>
    <x v="8"/>
    <x v="75"/>
    <x v="0"/>
    <x v="82"/>
    <x v="0"/>
    <x v="0"/>
    <x v="4"/>
    <s v="OPEX"/>
    <s v="Fixed"/>
    <x v="1"/>
    <n v="90"/>
    <x v="0"/>
    <n v="3"/>
  </r>
  <r>
    <x v="66"/>
    <x v="0"/>
    <x v="0"/>
    <x v="25"/>
    <x v="1"/>
    <x v="83"/>
    <x v="1"/>
    <x v="0"/>
    <x v="2"/>
    <s v="OPEX"/>
    <s v="Retainer"/>
    <x v="4"/>
    <n v="90"/>
    <x v="1"/>
    <n v="15"/>
  </r>
  <r>
    <x v="79"/>
    <x v="7"/>
    <x v="8"/>
    <x v="15"/>
    <x v="0"/>
    <x v="84"/>
    <x v="0"/>
    <x v="0"/>
    <x v="5"/>
    <s v="CAPEX"/>
    <s v="Fixed"/>
    <x v="1"/>
    <n v="90"/>
    <x v="2"/>
    <n v="13"/>
  </r>
  <r>
    <x v="80"/>
    <x v="5"/>
    <x v="0"/>
    <x v="76"/>
    <x v="1"/>
    <x v="85"/>
    <x v="0"/>
    <x v="0"/>
    <x v="3"/>
    <s v="OPEX"/>
    <s v="Variable"/>
    <x v="3"/>
    <n v="60"/>
    <x v="1"/>
    <n v="19"/>
  </r>
  <r>
    <x v="81"/>
    <x v="10"/>
    <x v="9"/>
    <x v="77"/>
    <x v="0"/>
    <x v="86"/>
    <x v="1"/>
    <x v="1"/>
    <x v="5"/>
    <s v="OPEX"/>
    <s v="Variable"/>
    <x v="1"/>
    <n v="45"/>
    <x v="0"/>
    <n v="13"/>
  </r>
  <r>
    <x v="82"/>
    <x v="2"/>
    <x v="1"/>
    <x v="78"/>
    <x v="0"/>
    <x v="87"/>
    <x v="1"/>
    <x v="1"/>
    <x v="3"/>
    <s v="CAPEX"/>
    <s v="Retainer"/>
    <x v="0"/>
    <n v="45"/>
    <x v="0"/>
    <n v="10"/>
  </r>
  <r>
    <x v="83"/>
    <x v="5"/>
    <x v="2"/>
    <x v="79"/>
    <x v="2"/>
    <x v="88"/>
    <x v="1"/>
    <x v="0"/>
    <x v="4"/>
    <s v="CAPEX"/>
    <s v="Variable"/>
    <x v="2"/>
    <n v="90"/>
    <x v="0"/>
    <n v="7"/>
  </r>
  <r>
    <x v="84"/>
    <x v="3"/>
    <x v="5"/>
    <x v="80"/>
    <x v="0"/>
    <x v="89"/>
    <x v="1"/>
    <x v="0"/>
    <x v="4"/>
    <s v="OPEX"/>
    <s v="Variable"/>
    <x v="2"/>
    <n v="60"/>
    <x v="2"/>
    <n v="9"/>
  </r>
  <r>
    <x v="85"/>
    <x v="7"/>
    <x v="4"/>
    <x v="81"/>
    <x v="1"/>
    <x v="90"/>
    <x v="0"/>
    <x v="0"/>
    <x v="0"/>
    <s v="OPEX"/>
    <s v="Variable"/>
    <x v="1"/>
    <n v="90"/>
    <x v="1"/>
    <n v="6"/>
  </r>
  <r>
    <x v="86"/>
    <x v="9"/>
    <x v="1"/>
    <x v="82"/>
    <x v="2"/>
    <x v="91"/>
    <x v="0"/>
    <x v="1"/>
    <x v="3"/>
    <s v="CAPEX"/>
    <s v="Retainer"/>
    <x v="2"/>
    <n v="45"/>
    <x v="0"/>
    <n v="4"/>
  </r>
  <r>
    <x v="87"/>
    <x v="11"/>
    <x v="9"/>
    <x v="83"/>
    <x v="0"/>
    <x v="92"/>
    <x v="0"/>
    <x v="0"/>
    <x v="4"/>
    <s v="CAPEX"/>
    <s v="Fixed"/>
    <x v="2"/>
    <n v="90"/>
    <x v="1"/>
    <n v="5"/>
  </r>
  <r>
    <x v="88"/>
    <x v="1"/>
    <x v="9"/>
    <x v="84"/>
    <x v="2"/>
    <x v="93"/>
    <x v="0"/>
    <x v="0"/>
    <x v="1"/>
    <s v="OPEX"/>
    <s v="Retainer"/>
    <x v="0"/>
    <n v="45"/>
    <x v="0"/>
    <n v="19"/>
  </r>
  <r>
    <x v="73"/>
    <x v="0"/>
    <x v="7"/>
    <x v="85"/>
    <x v="0"/>
    <x v="94"/>
    <x v="1"/>
    <x v="0"/>
    <x v="4"/>
    <s v="OPEX"/>
    <s v="Retainer"/>
    <x v="3"/>
    <n v="90"/>
    <x v="2"/>
    <n v="20"/>
  </r>
  <r>
    <x v="89"/>
    <x v="0"/>
    <x v="9"/>
    <x v="36"/>
    <x v="1"/>
    <x v="95"/>
    <x v="0"/>
    <x v="1"/>
    <x v="4"/>
    <s v="CAPEX"/>
    <s v="Variable"/>
    <x v="1"/>
    <n v="45"/>
    <x v="2"/>
    <n v="8"/>
  </r>
  <r>
    <x v="90"/>
    <x v="4"/>
    <x v="7"/>
    <x v="86"/>
    <x v="2"/>
    <x v="96"/>
    <x v="0"/>
    <x v="0"/>
    <x v="2"/>
    <s v="CAPEX"/>
    <s v="Variable"/>
    <x v="0"/>
    <n v="45"/>
    <x v="0"/>
    <n v="6"/>
  </r>
  <r>
    <x v="91"/>
    <x v="8"/>
    <x v="7"/>
    <x v="87"/>
    <x v="1"/>
    <x v="97"/>
    <x v="0"/>
    <x v="1"/>
    <x v="1"/>
    <s v="CAPEX"/>
    <s v="Retainer"/>
    <x v="4"/>
    <n v="60"/>
    <x v="0"/>
    <n v="12"/>
  </r>
  <r>
    <x v="92"/>
    <x v="10"/>
    <x v="1"/>
    <x v="88"/>
    <x v="0"/>
    <x v="98"/>
    <x v="1"/>
    <x v="0"/>
    <x v="3"/>
    <s v="OPEX"/>
    <s v="Variable"/>
    <x v="1"/>
    <n v="60"/>
    <x v="0"/>
    <n v="8"/>
  </r>
  <r>
    <x v="35"/>
    <x v="3"/>
    <x v="9"/>
    <x v="89"/>
    <x v="2"/>
    <x v="99"/>
    <x v="0"/>
    <x v="0"/>
    <x v="3"/>
    <s v="OPEX"/>
    <s v="Retainer"/>
    <x v="0"/>
    <n v="60"/>
    <x v="2"/>
    <n v="19"/>
  </r>
  <r>
    <x v="93"/>
    <x v="7"/>
    <x v="6"/>
    <x v="59"/>
    <x v="1"/>
    <x v="100"/>
    <x v="0"/>
    <x v="1"/>
    <x v="2"/>
    <s v="CAPEX"/>
    <s v="Fixed"/>
    <x v="0"/>
    <n v="45"/>
    <x v="2"/>
    <n v="10"/>
  </r>
  <r>
    <x v="94"/>
    <x v="9"/>
    <x v="1"/>
    <x v="90"/>
    <x v="1"/>
    <x v="101"/>
    <x v="1"/>
    <x v="0"/>
    <x v="3"/>
    <s v="OPEX"/>
    <s v="Fixed"/>
    <x v="1"/>
    <n v="90"/>
    <x v="0"/>
    <n v="4"/>
  </r>
  <r>
    <x v="95"/>
    <x v="2"/>
    <x v="5"/>
    <x v="91"/>
    <x v="0"/>
    <x v="102"/>
    <x v="0"/>
    <x v="1"/>
    <x v="2"/>
    <s v="OPEX"/>
    <s v="Retainer"/>
    <x v="0"/>
    <n v="90"/>
    <x v="2"/>
    <n v="15"/>
  </r>
  <r>
    <x v="96"/>
    <x v="4"/>
    <x v="1"/>
    <x v="92"/>
    <x v="1"/>
    <x v="103"/>
    <x v="0"/>
    <x v="0"/>
    <x v="5"/>
    <s v="CAPEX"/>
    <s v="Fixed"/>
    <x v="1"/>
    <n v="90"/>
    <x v="2"/>
    <n v="7"/>
  </r>
  <r>
    <x v="97"/>
    <x v="5"/>
    <x v="8"/>
    <x v="93"/>
    <x v="2"/>
    <x v="104"/>
    <x v="1"/>
    <x v="1"/>
    <x v="4"/>
    <s v="CAPEX"/>
    <s v="Retainer"/>
    <x v="2"/>
    <n v="45"/>
    <x v="2"/>
    <n v="15"/>
  </r>
  <r>
    <x v="98"/>
    <x v="10"/>
    <x v="3"/>
    <x v="94"/>
    <x v="2"/>
    <x v="105"/>
    <x v="0"/>
    <x v="0"/>
    <x v="5"/>
    <s v="OPEX"/>
    <s v="Variable"/>
    <x v="3"/>
    <n v="90"/>
    <x v="2"/>
    <n v="15"/>
  </r>
  <r>
    <x v="77"/>
    <x v="10"/>
    <x v="8"/>
    <x v="95"/>
    <x v="0"/>
    <x v="106"/>
    <x v="1"/>
    <x v="1"/>
    <x v="2"/>
    <s v="CAPEX"/>
    <s v="Retainer"/>
    <x v="1"/>
    <n v="90"/>
    <x v="0"/>
    <n v="19"/>
  </r>
  <r>
    <x v="99"/>
    <x v="4"/>
    <x v="3"/>
    <x v="23"/>
    <x v="1"/>
    <x v="107"/>
    <x v="1"/>
    <x v="1"/>
    <x v="4"/>
    <s v="OPEX"/>
    <s v="Variable"/>
    <x v="1"/>
    <n v="30"/>
    <x v="2"/>
    <n v="8"/>
  </r>
  <r>
    <x v="100"/>
    <x v="10"/>
    <x v="5"/>
    <x v="93"/>
    <x v="1"/>
    <x v="108"/>
    <x v="1"/>
    <x v="1"/>
    <x v="3"/>
    <s v="CAPEX"/>
    <s v="Variable"/>
    <x v="1"/>
    <n v="45"/>
    <x v="2"/>
    <n v="5"/>
  </r>
  <r>
    <x v="101"/>
    <x v="8"/>
    <x v="8"/>
    <x v="96"/>
    <x v="2"/>
    <x v="109"/>
    <x v="0"/>
    <x v="1"/>
    <x v="0"/>
    <s v="CAPEX"/>
    <s v="Fixed"/>
    <x v="0"/>
    <n v="45"/>
    <x v="1"/>
    <n v="10"/>
  </r>
  <r>
    <x v="102"/>
    <x v="5"/>
    <x v="7"/>
    <x v="97"/>
    <x v="0"/>
    <x v="110"/>
    <x v="0"/>
    <x v="0"/>
    <x v="2"/>
    <s v="CAPEX"/>
    <s v="Variable"/>
    <x v="4"/>
    <n v="45"/>
    <x v="2"/>
    <n v="9"/>
  </r>
  <r>
    <x v="103"/>
    <x v="0"/>
    <x v="3"/>
    <x v="98"/>
    <x v="1"/>
    <x v="111"/>
    <x v="1"/>
    <x v="1"/>
    <x v="0"/>
    <s v="CAPEX"/>
    <s v="Fixed"/>
    <x v="3"/>
    <n v="60"/>
    <x v="1"/>
    <n v="18"/>
  </r>
  <r>
    <x v="104"/>
    <x v="0"/>
    <x v="5"/>
    <x v="99"/>
    <x v="0"/>
    <x v="112"/>
    <x v="1"/>
    <x v="0"/>
    <x v="0"/>
    <s v="CAPEX"/>
    <s v="Variable"/>
    <x v="0"/>
    <n v="60"/>
    <x v="1"/>
    <n v="5"/>
  </r>
  <r>
    <x v="105"/>
    <x v="11"/>
    <x v="5"/>
    <x v="100"/>
    <x v="1"/>
    <x v="113"/>
    <x v="0"/>
    <x v="1"/>
    <x v="0"/>
    <s v="CAPEX"/>
    <s v="Variable"/>
    <x v="3"/>
    <n v="60"/>
    <x v="0"/>
    <n v="14"/>
  </r>
  <r>
    <x v="65"/>
    <x v="11"/>
    <x v="4"/>
    <x v="101"/>
    <x v="0"/>
    <x v="114"/>
    <x v="0"/>
    <x v="1"/>
    <x v="1"/>
    <s v="CAPEX"/>
    <s v="Retainer"/>
    <x v="2"/>
    <n v="90"/>
    <x v="1"/>
    <n v="7"/>
  </r>
  <r>
    <x v="60"/>
    <x v="0"/>
    <x v="0"/>
    <x v="102"/>
    <x v="0"/>
    <x v="115"/>
    <x v="0"/>
    <x v="1"/>
    <x v="1"/>
    <s v="CAPEX"/>
    <s v="Retainer"/>
    <x v="4"/>
    <n v="45"/>
    <x v="1"/>
    <n v="3"/>
  </r>
  <r>
    <x v="106"/>
    <x v="2"/>
    <x v="6"/>
    <x v="103"/>
    <x v="0"/>
    <x v="116"/>
    <x v="0"/>
    <x v="0"/>
    <x v="4"/>
    <s v="OPEX"/>
    <s v="Fixed"/>
    <x v="1"/>
    <n v="60"/>
    <x v="1"/>
    <n v="20"/>
  </r>
  <r>
    <x v="107"/>
    <x v="5"/>
    <x v="0"/>
    <x v="104"/>
    <x v="2"/>
    <x v="117"/>
    <x v="1"/>
    <x v="0"/>
    <x v="0"/>
    <s v="OPEX"/>
    <s v="Variable"/>
    <x v="1"/>
    <n v="30"/>
    <x v="1"/>
    <n v="7"/>
  </r>
  <r>
    <x v="108"/>
    <x v="9"/>
    <x v="6"/>
    <x v="105"/>
    <x v="0"/>
    <x v="118"/>
    <x v="1"/>
    <x v="0"/>
    <x v="4"/>
    <s v="OPEX"/>
    <s v="Variable"/>
    <x v="1"/>
    <n v="45"/>
    <x v="1"/>
    <n v="18"/>
  </r>
  <r>
    <x v="109"/>
    <x v="9"/>
    <x v="2"/>
    <x v="106"/>
    <x v="2"/>
    <x v="119"/>
    <x v="0"/>
    <x v="0"/>
    <x v="4"/>
    <s v="OPEX"/>
    <s v="Variable"/>
    <x v="1"/>
    <n v="60"/>
    <x v="1"/>
    <n v="19"/>
  </r>
  <r>
    <x v="110"/>
    <x v="1"/>
    <x v="7"/>
    <x v="11"/>
    <x v="0"/>
    <x v="120"/>
    <x v="1"/>
    <x v="0"/>
    <x v="1"/>
    <s v="OPEX"/>
    <s v="Fixed"/>
    <x v="3"/>
    <n v="45"/>
    <x v="2"/>
    <n v="12"/>
  </r>
  <r>
    <x v="111"/>
    <x v="3"/>
    <x v="0"/>
    <x v="107"/>
    <x v="2"/>
    <x v="121"/>
    <x v="0"/>
    <x v="0"/>
    <x v="5"/>
    <s v="OPEX"/>
    <s v="Retainer"/>
    <x v="2"/>
    <n v="45"/>
    <x v="2"/>
    <n v="15"/>
  </r>
  <r>
    <x v="35"/>
    <x v="5"/>
    <x v="3"/>
    <x v="108"/>
    <x v="0"/>
    <x v="122"/>
    <x v="0"/>
    <x v="0"/>
    <x v="0"/>
    <s v="OPEX"/>
    <s v="Retainer"/>
    <x v="1"/>
    <n v="60"/>
    <x v="2"/>
    <n v="13"/>
  </r>
  <r>
    <x v="112"/>
    <x v="4"/>
    <x v="3"/>
    <x v="109"/>
    <x v="1"/>
    <x v="123"/>
    <x v="0"/>
    <x v="1"/>
    <x v="5"/>
    <s v="CAPEX"/>
    <s v="Retainer"/>
    <x v="4"/>
    <n v="30"/>
    <x v="2"/>
    <n v="9"/>
  </r>
  <r>
    <x v="72"/>
    <x v="6"/>
    <x v="6"/>
    <x v="110"/>
    <x v="2"/>
    <x v="124"/>
    <x v="0"/>
    <x v="0"/>
    <x v="1"/>
    <s v="OPEX"/>
    <s v="Fixed"/>
    <x v="0"/>
    <n v="90"/>
    <x v="1"/>
    <n v="13"/>
  </r>
  <r>
    <x v="113"/>
    <x v="8"/>
    <x v="1"/>
    <x v="111"/>
    <x v="2"/>
    <x v="125"/>
    <x v="1"/>
    <x v="1"/>
    <x v="0"/>
    <s v="OPEX"/>
    <s v="Fixed"/>
    <x v="1"/>
    <n v="60"/>
    <x v="0"/>
    <n v="8"/>
  </r>
  <r>
    <x v="114"/>
    <x v="0"/>
    <x v="9"/>
    <x v="112"/>
    <x v="0"/>
    <x v="126"/>
    <x v="0"/>
    <x v="0"/>
    <x v="1"/>
    <s v="CAPEX"/>
    <s v="Fixed"/>
    <x v="2"/>
    <n v="90"/>
    <x v="1"/>
    <n v="18"/>
  </r>
  <r>
    <x v="115"/>
    <x v="5"/>
    <x v="3"/>
    <x v="113"/>
    <x v="2"/>
    <x v="127"/>
    <x v="0"/>
    <x v="1"/>
    <x v="2"/>
    <s v="CAPEX"/>
    <s v="Retainer"/>
    <x v="3"/>
    <n v="45"/>
    <x v="0"/>
    <n v="12"/>
  </r>
  <r>
    <x v="58"/>
    <x v="0"/>
    <x v="4"/>
    <x v="47"/>
    <x v="2"/>
    <x v="128"/>
    <x v="1"/>
    <x v="1"/>
    <x v="4"/>
    <s v="CAPEX"/>
    <s v="Variable"/>
    <x v="1"/>
    <n v="60"/>
    <x v="2"/>
    <n v="7"/>
  </r>
  <r>
    <x v="116"/>
    <x v="5"/>
    <x v="8"/>
    <x v="114"/>
    <x v="2"/>
    <x v="129"/>
    <x v="1"/>
    <x v="1"/>
    <x v="1"/>
    <s v="CAPEX"/>
    <s v="Variable"/>
    <x v="0"/>
    <n v="60"/>
    <x v="2"/>
    <n v="20"/>
  </r>
  <r>
    <x v="117"/>
    <x v="9"/>
    <x v="0"/>
    <x v="115"/>
    <x v="2"/>
    <x v="130"/>
    <x v="0"/>
    <x v="0"/>
    <x v="3"/>
    <s v="OPEX"/>
    <s v="Retainer"/>
    <x v="1"/>
    <n v="60"/>
    <x v="0"/>
    <n v="6"/>
  </r>
  <r>
    <x v="22"/>
    <x v="5"/>
    <x v="6"/>
    <x v="97"/>
    <x v="2"/>
    <x v="131"/>
    <x v="0"/>
    <x v="0"/>
    <x v="1"/>
    <s v="OPEX"/>
    <s v="Variable"/>
    <x v="0"/>
    <n v="90"/>
    <x v="0"/>
    <n v="19"/>
  </r>
  <r>
    <x v="118"/>
    <x v="2"/>
    <x v="6"/>
    <x v="116"/>
    <x v="1"/>
    <x v="132"/>
    <x v="1"/>
    <x v="1"/>
    <x v="4"/>
    <s v="OPEX"/>
    <s v="Fixed"/>
    <x v="2"/>
    <n v="60"/>
    <x v="2"/>
    <n v="15"/>
  </r>
  <r>
    <x v="119"/>
    <x v="0"/>
    <x v="8"/>
    <x v="36"/>
    <x v="0"/>
    <x v="133"/>
    <x v="1"/>
    <x v="1"/>
    <x v="1"/>
    <s v="OPEX"/>
    <s v="Retainer"/>
    <x v="2"/>
    <n v="60"/>
    <x v="1"/>
    <n v="9"/>
  </r>
  <r>
    <x v="52"/>
    <x v="7"/>
    <x v="2"/>
    <x v="117"/>
    <x v="1"/>
    <x v="134"/>
    <x v="1"/>
    <x v="1"/>
    <x v="1"/>
    <s v="CAPEX"/>
    <s v="Variable"/>
    <x v="0"/>
    <n v="45"/>
    <x v="0"/>
    <n v="10"/>
  </r>
  <r>
    <x v="120"/>
    <x v="5"/>
    <x v="3"/>
    <x v="118"/>
    <x v="0"/>
    <x v="135"/>
    <x v="0"/>
    <x v="1"/>
    <x v="2"/>
    <s v="CAPEX"/>
    <s v="Variable"/>
    <x v="4"/>
    <n v="30"/>
    <x v="1"/>
    <n v="11"/>
  </r>
  <r>
    <x v="121"/>
    <x v="6"/>
    <x v="3"/>
    <x v="119"/>
    <x v="2"/>
    <x v="136"/>
    <x v="1"/>
    <x v="0"/>
    <x v="4"/>
    <s v="CAPEX"/>
    <s v="Fixed"/>
    <x v="0"/>
    <n v="90"/>
    <x v="1"/>
    <n v="10"/>
  </r>
  <r>
    <x v="122"/>
    <x v="6"/>
    <x v="0"/>
    <x v="120"/>
    <x v="1"/>
    <x v="137"/>
    <x v="0"/>
    <x v="0"/>
    <x v="1"/>
    <s v="CAPEX"/>
    <s v="Variable"/>
    <x v="1"/>
    <n v="90"/>
    <x v="0"/>
    <n v="5"/>
  </r>
  <r>
    <x v="105"/>
    <x v="9"/>
    <x v="3"/>
    <x v="121"/>
    <x v="1"/>
    <x v="138"/>
    <x v="0"/>
    <x v="1"/>
    <x v="0"/>
    <s v="OPEX"/>
    <s v="Variable"/>
    <x v="1"/>
    <n v="30"/>
    <x v="2"/>
    <n v="13"/>
  </r>
  <r>
    <x v="123"/>
    <x v="5"/>
    <x v="2"/>
    <x v="122"/>
    <x v="2"/>
    <x v="139"/>
    <x v="1"/>
    <x v="1"/>
    <x v="1"/>
    <s v="OPEX"/>
    <s v="Fixed"/>
    <x v="0"/>
    <n v="60"/>
    <x v="0"/>
    <n v="3"/>
  </r>
  <r>
    <x v="39"/>
    <x v="9"/>
    <x v="5"/>
    <x v="123"/>
    <x v="1"/>
    <x v="140"/>
    <x v="1"/>
    <x v="0"/>
    <x v="3"/>
    <s v="CAPEX"/>
    <s v="Fixed"/>
    <x v="2"/>
    <n v="45"/>
    <x v="2"/>
    <n v="6"/>
  </r>
  <r>
    <x v="124"/>
    <x v="11"/>
    <x v="9"/>
    <x v="124"/>
    <x v="0"/>
    <x v="141"/>
    <x v="1"/>
    <x v="0"/>
    <x v="4"/>
    <s v="OPEX"/>
    <s v="Fixed"/>
    <x v="3"/>
    <n v="45"/>
    <x v="1"/>
    <n v="16"/>
  </r>
  <r>
    <x v="125"/>
    <x v="3"/>
    <x v="5"/>
    <x v="125"/>
    <x v="2"/>
    <x v="142"/>
    <x v="0"/>
    <x v="0"/>
    <x v="2"/>
    <s v="OPEX"/>
    <s v="Retainer"/>
    <x v="2"/>
    <n v="60"/>
    <x v="2"/>
    <n v="8"/>
  </r>
  <r>
    <x v="126"/>
    <x v="10"/>
    <x v="5"/>
    <x v="126"/>
    <x v="0"/>
    <x v="143"/>
    <x v="1"/>
    <x v="1"/>
    <x v="2"/>
    <s v="CAPEX"/>
    <s v="Retainer"/>
    <x v="1"/>
    <n v="30"/>
    <x v="1"/>
    <n v="11"/>
  </r>
  <r>
    <x v="61"/>
    <x v="5"/>
    <x v="4"/>
    <x v="42"/>
    <x v="2"/>
    <x v="144"/>
    <x v="1"/>
    <x v="0"/>
    <x v="2"/>
    <s v="CAPEX"/>
    <s v="Fixed"/>
    <x v="1"/>
    <n v="60"/>
    <x v="1"/>
    <n v="16"/>
  </r>
  <r>
    <x v="127"/>
    <x v="4"/>
    <x v="3"/>
    <x v="12"/>
    <x v="0"/>
    <x v="145"/>
    <x v="1"/>
    <x v="0"/>
    <x v="2"/>
    <s v="CAPEX"/>
    <s v="Variable"/>
    <x v="3"/>
    <n v="30"/>
    <x v="0"/>
    <n v="9"/>
  </r>
  <r>
    <x v="45"/>
    <x v="8"/>
    <x v="6"/>
    <x v="127"/>
    <x v="0"/>
    <x v="146"/>
    <x v="0"/>
    <x v="1"/>
    <x v="4"/>
    <s v="CAPEX"/>
    <s v="Retainer"/>
    <x v="2"/>
    <n v="90"/>
    <x v="1"/>
    <n v="6"/>
  </r>
  <r>
    <x v="15"/>
    <x v="2"/>
    <x v="2"/>
    <x v="128"/>
    <x v="2"/>
    <x v="147"/>
    <x v="1"/>
    <x v="0"/>
    <x v="3"/>
    <s v="CAPEX"/>
    <s v="Variable"/>
    <x v="3"/>
    <n v="90"/>
    <x v="1"/>
    <n v="7"/>
  </r>
  <r>
    <x v="21"/>
    <x v="10"/>
    <x v="1"/>
    <x v="129"/>
    <x v="0"/>
    <x v="148"/>
    <x v="0"/>
    <x v="1"/>
    <x v="1"/>
    <s v="OPEX"/>
    <s v="Retainer"/>
    <x v="4"/>
    <n v="60"/>
    <x v="2"/>
    <n v="17"/>
  </r>
  <r>
    <x v="57"/>
    <x v="6"/>
    <x v="4"/>
    <x v="51"/>
    <x v="1"/>
    <x v="149"/>
    <x v="1"/>
    <x v="1"/>
    <x v="4"/>
    <s v="CAPEX"/>
    <s v="Retainer"/>
    <x v="0"/>
    <n v="90"/>
    <x v="0"/>
    <n v="20"/>
  </r>
  <r>
    <x v="128"/>
    <x v="0"/>
    <x v="5"/>
    <x v="130"/>
    <x v="2"/>
    <x v="150"/>
    <x v="1"/>
    <x v="1"/>
    <x v="5"/>
    <s v="CAPEX"/>
    <s v="Variable"/>
    <x v="1"/>
    <n v="60"/>
    <x v="2"/>
    <n v="8"/>
  </r>
  <r>
    <x v="129"/>
    <x v="7"/>
    <x v="0"/>
    <x v="131"/>
    <x v="0"/>
    <x v="151"/>
    <x v="0"/>
    <x v="0"/>
    <x v="1"/>
    <s v="OPEX"/>
    <s v="Retainer"/>
    <x v="2"/>
    <n v="60"/>
    <x v="1"/>
    <n v="12"/>
  </r>
  <r>
    <x v="7"/>
    <x v="9"/>
    <x v="7"/>
    <x v="0"/>
    <x v="1"/>
    <x v="152"/>
    <x v="0"/>
    <x v="1"/>
    <x v="5"/>
    <s v="CAPEX"/>
    <s v="Retainer"/>
    <x v="1"/>
    <n v="60"/>
    <x v="0"/>
    <n v="10"/>
  </r>
  <r>
    <x v="130"/>
    <x v="9"/>
    <x v="8"/>
    <x v="132"/>
    <x v="2"/>
    <x v="153"/>
    <x v="1"/>
    <x v="1"/>
    <x v="0"/>
    <s v="CAPEX"/>
    <s v="Fixed"/>
    <x v="3"/>
    <n v="30"/>
    <x v="2"/>
    <n v="19"/>
  </r>
  <r>
    <x v="82"/>
    <x v="9"/>
    <x v="3"/>
    <x v="133"/>
    <x v="1"/>
    <x v="154"/>
    <x v="0"/>
    <x v="1"/>
    <x v="2"/>
    <s v="CAPEX"/>
    <s v="Variable"/>
    <x v="1"/>
    <n v="90"/>
    <x v="2"/>
    <n v="11"/>
  </r>
  <r>
    <x v="131"/>
    <x v="7"/>
    <x v="9"/>
    <x v="134"/>
    <x v="0"/>
    <x v="155"/>
    <x v="1"/>
    <x v="0"/>
    <x v="4"/>
    <s v="CAPEX"/>
    <s v="Retainer"/>
    <x v="2"/>
    <n v="45"/>
    <x v="2"/>
    <n v="13"/>
  </r>
  <r>
    <x v="132"/>
    <x v="2"/>
    <x v="4"/>
    <x v="51"/>
    <x v="1"/>
    <x v="156"/>
    <x v="1"/>
    <x v="0"/>
    <x v="5"/>
    <s v="CAPEX"/>
    <s v="Variable"/>
    <x v="0"/>
    <n v="60"/>
    <x v="2"/>
    <n v="6"/>
  </r>
  <r>
    <x v="124"/>
    <x v="10"/>
    <x v="8"/>
    <x v="135"/>
    <x v="1"/>
    <x v="157"/>
    <x v="1"/>
    <x v="1"/>
    <x v="1"/>
    <s v="CAPEX"/>
    <s v="Retainer"/>
    <x v="3"/>
    <n v="30"/>
    <x v="1"/>
    <n v="20"/>
  </r>
  <r>
    <x v="6"/>
    <x v="8"/>
    <x v="5"/>
    <x v="136"/>
    <x v="0"/>
    <x v="158"/>
    <x v="0"/>
    <x v="0"/>
    <x v="1"/>
    <s v="OPEX"/>
    <s v="Retainer"/>
    <x v="0"/>
    <n v="90"/>
    <x v="1"/>
    <n v="8"/>
  </r>
  <r>
    <x v="133"/>
    <x v="6"/>
    <x v="4"/>
    <x v="137"/>
    <x v="1"/>
    <x v="159"/>
    <x v="1"/>
    <x v="0"/>
    <x v="2"/>
    <s v="CAPEX"/>
    <s v="Fixed"/>
    <x v="3"/>
    <n v="45"/>
    <x v="2"/>
    <n v="10"/>
  </r>
  <r>
    <x v="42"/>
    <x v="9"/>
    <x v="5"/>
    <x v="138"/>
    <x v="0"/>
    <x v="160"/>
    <x v="0"/>
    <x v="1"/>
    <x v="1"/>
    <s v="CAPEX"/>
    <s v="Variable"/>
    <x v="4"/>
    <n v="30"/>
    <x v="1"/>
    <n v="13"/>
  </r>
  <r>
    <x v="134"/>
    <x v="8"/>
    <x v="4"/>
    <x v="139"/>
    <x v="1"/>
    <x v="161"/>
    <x v="1"/>
    <x v="1"/>
    <x v="2"/>
    <s v="OPEX"/>
    <s v="Fixed"/>
    <x v="1"/>
    <n v="30"/>
    <x v="2"/>
    <n v="4"/>
  </r>
  <r>
    <x v="94"/>
    <x v="8"/>
    <x v="6"/>
    <x v="140"/>
    <x v="0"/>
    <x v="162"/>
    <x v="1"/>
    <x v="0"/>
    <x v="5"/>
    <s v="CAPEX"/>
    <s v="Retainer"/>
    <x v="1"/>
    <n v="45"/>
    <x v="2"/>
    <n v="13"/>
  </r>
  <r>
    <x v="135"/>
    <x v="3"/>
    <x v="2"/>
    <x v="131"/>
    <x v="2"/>
    <x v="163"/>
    <x v="0"/>
    <x v="0"/>
    <x v="3"/>
    <s v="CAPEX"/>
    <s v="Retainer"/>
    <x v="2"/>
    <n v="45"/>
    <x v="0"/>
    <n v="3"/>
  </r>
  <r>
    <x v="136"/>
    <x v="0"/>
    <x v="2"/>
    <x v="84"/>
    <x v="1"/>
    <x v="164"/>
    <x v="1"/>
    <x v="1"/>
    <x v="1"/>
    <s v="OPEX"/>
    <s v="Retainer"/>
    <x v="3"/>
    <n v="30"/>
    <x v="1"/>
    <n v="20"/>
  </r>
  <r>
    <x v="90"/>
    <x v="3"/>
    <x v="3"/>
    <x v="14"/>
    <x v="0"/>
    <x v="165"/>
    <x v="0"/>
    <x v="0"/>
    <x v="4"/>
    <s v="CAPEX"/>
    <s v="Retainer"/>
    <x v="4"/>
    <n v="30"/>
    <x v="2"/>
    <n v="11"/>
  </r>
  <r>
    <x v="137"/>
    <x v="0"/>
    <x v="9"/>
    <x v="141"/>
    <x v="1"/>
    <x v="166"/>
    <x v="0"/>
    <x v="0"/>
    <x v="0"/>
    <s v="OPEX"/>
    <s v="Fixed"/>
    <x v="2"/>
    <n v="60"/>
    <x v="1"/>
    <n v="7"/>
  </r>
  <r>
    <x v="138"/>
    <x v="9"/>
    <x v="7"/>
    <x v="142"/>
    <x v="2"/>
    <x v="167"/>
    <x v="0"/>
    <x v="1"/>
    <x v="3"/>
    <s v="CAPEX"/>
    <s v="Variable"/>
    <x v="3"/>
    <n v="90"/>
    <x v="2"/>
    <n v="13"/>
  </r>
  <r>
    <x v="25"/>
    <x v="8"/>
    <x v="2"/>
    <x v="69"/>
    <x v="2"/>
    <x v="168"/>
    <x v="0"/>
    <x v="0"/>
    <x v="2"/>
    <s v="OPEX"/>
    <s v="Retainer"/>
    <x v="1"/>
    <n v="30"/>
    <x v="0"/>
    <n v="3"/>
  </r>
  <r>
    <x v="121"/>
    <x v="6"/>
    <x v="5"/>
    <x v="73"/>
    <x v="2"/>
    <x v="169"/>
    <x v="1"/>
    <x v="1"/>
    <x v="0"/>
    <s v="OPEX"/>
    <s v="Variable"/>
    <x v="1"/>
    <n v="90"/>
    <x v="0"/>
    <n v="3"/>
  </r>
  <r>
    <x v="89"/>
    <x v="5"/>
    <x v="1"/>
    <x v="40"/>
    <x v="0"/>
    <x v="170"/>
    <x v="0"/>
    <x v="1"/>
    <x v="0"/>
    <s v="OPEX"/>
    <s v="Fixed"/>
    <x v="1"/>
    <n v="60"/>
    <x v="0"/>
    <n v="4"/>
  </r>
  <r>
    <x v="139"/>
    <x v="8"/>
    <x v="6"/>
    <x v="143"/>
    <x v="2"/>
    <x v="171"/>
    <x v="0"/>
    <x v="1"/>
    <x v="4"/>
    <s v="OPEX"/>
    <s v="Retainer"/>
    <x v="3"/>
    <n v="45"/>
    <x v="2"/>
    <n v="5"/>
  </r>
  <r>
    <x v="20"/>
    <x v="3"/>
    <x v="8"/>
    <x v="91"/>
    <x v="0"/>
    <x v="172"/>
    <x v="0"/>
    <x v="1"/>
    <x v="0"/>
    <s v="OPEX"/>
    <s v="Fixed"/>
    <x v="0"/>
    <n v="45"/>
    <x v="1"/>
    <n v="14"/>
  </r>
  <r>
    <x v="82"/>
    <x v="6"/>
    <x v="5"/>
    <x v="144"/>
    <x v="1"/>
    <x v="173"/>
    <x v="1"/>
    <x v="1"/>
    <x v="1"/>
    <s v="CAPEX"/>
    <s v="Fixed"/>
    <x v="4"/>
    <n v="90"/>
    <x v="1"/>
    <n v="18"/>
  </r>
  <r>
    <x v="24"/>
    <x v="4"/>
    <x v="6"/>
    <x v="94"/>
    <x v="1"/>
    <x v="174"/>
    <x v="1"/>
    <x v="1"/>
    <x v="4"/>
    <s v="CAPEX"/>
    <s v="Retainer"/>
    <x v="1"/>
    <n v="45"/>
    <x v="1"/>
    <n v="5"/>
  </r>
  <r>
    <x v="55"/>
    <x v="6"/>
    <x v="7"/>
    <x v="145"/>
    <x v="0"/>
    <x v="175"/>
    <x v="0"/>
    <x v="1"/>
    <x v="0"/>
    <s v="CAPEX"/>
    <s v="Retainer"/>
    <x v="3"/>
    <n v="45"/>
    <x v="1"/>
    <n v="19"/>
  </r>
  <r>
    <x v="140"/>
    <x v="3"/>
    <x v="4"/>
    <x v="146"/>
    <x v="1"/>
    <x v="176"/>
    <x v="0"/>
    <x v="0"/>
    <x v="3"/>
    <s v="OPEX"/>
    <s v="Fixed"/>
    <x v="3"/>
    <n v="30"/>
    <x v="0"/>
    <n v="3"/>
  </r>
  <r>
    <x v="141"/>
    <x v="10"/>
    <x v="2"/>
    <x v="147"/>
    <x v="2"/>
    <x v="177"/>
    <x v="0"/>
    <x v="1"/>
    <x v="2"/>
    <s v="OPEX"/>
    <s v="Fixed"/>
    <x v="0"/>
    <n v="60"/>
    <x v="2"/>
    <n v="8"/>
  </r>
  <r>
    <x v="142"/>
    <x v="5"/>
    <x v="0"/>
    <x v="148"/>
    <x v="0"/>
    <x v="178"/>
    <x v="1"/>
    <x v="0"/>
    <x v="3"/>
    <s v="OPEX"/>
    <s v="Fixed"/>
    <x v="3"/>
    <n v="45"/>
    <x v="0"/>
    <n v="19"/>
  </r>
  <r>
    <x v="12"/>
    <x v="7"/>
    <x v="3"/>
    <x v="149"/>
    <x v="0"/>
    <x v="179"/>
    <x v="1"/>
    <x v="1"/>
    <x v="4"/>
    <s v="CAPEX"/>
    <s v="Fixed"/>
    <x v="2"/>
    <n v="60"/>
    <x v="1"/>
    <n v="9"/>
  </r>
  <r>
    <x v="118"/>
    <x v="6"/>
    <x v="3"/>
    <x v="150"/>
    <x v="1"/>
    <x v="180"/>
    <x v="1"/>
    <x v="0"/>
    <x v="0"/>
    <s v="OPEX"/>
    <s v="Retainer"/>
    <x v="4"/>
    <n v="45"/>
    <x v="2"/>
    <n v="17"/>
  </r>
  <r>
    <x v="143"/>
    <x v="11"/>
    <x v="2"/>
    <x v="151"/>
    <x v="0"/>
    <x v="181"/>
    <x v="1"/>
    <x v="0"/>
    <x v="1"/>
    <s v="OPEX"/>
    <s v="Retainer"/>
    <x v="1"/>
    <n v="45"/>
    <x v="1"/>
    <n v="4"/>
  </r>
  <r>
    <x v="137"/>
    <x v="11"/>
    <x v="3"/>
    <x v="152"/>
    <x v="1"/>
    <x v="182"/>
    <x v="0"/>
    <x v="0"/>
    <x v="3"/>
    <s v="CAPEX"/>
    <s v="Variable"/>
    <x v="1"/>
    <n v="60"/>
    <x v="1"/>
    <n v="13"/>
  </r>
  <r>
    <x v="44"/>
    <x v="9"/>
    <x v="7"/>
    <x v="153"/>
    <x v="0"/>
    <x v="183"/>
    <x v="0"/>
    <x v="1"/>
    <x v="1"/>
    <s v="CAPEX"/>
    <s v="Fixed"/>
    <x v="1"/>
    <n v="90"/>
    <x v="1"/>
    <n v="16"/>
  </r>
  <r>
    <x v="88"/>
    <x v="0"/>
    <x v="3"/>
    <x v="154"/>
    <x v="0"/>
    <x v="184"/>
    <x v="0"/>
    <x v="0"/>
    <x v="2"/>
    <s v="OPEX"/>
    <s v="Variable"/>
    <x v="0"/>
    <n v="30"/>
    <x v="0"/>
    <n v="6"/>
  </r>
  <r>
    <x v="144"/>
    <x v="0"/>
    <x v="6"/>
    <x v="116"/>
    <x v="2"/>
    <x v="185"/>
    <x v="1"/>
    <x v="0"/>
    <x v="0"/>
    <s v="OPEX"/>
    <s v="Fixed"/>
    <x v="4"/>
    <n v="30"/>
    <x v="0"/>
    <n v="5"/>
  </r>
  <r>
    <x v="30"/>
    <x v="7"/>
    <x v="5"/>
    <x v="155"/>
    <x v="1"/>
    <x v="186"/>
    <x v="0"/>
    <x v="1"/>
    <x v="4"/>
    <s v="CAPEX"/>
    <s v="Variable"/>
    <x v="2"/>
    <n v="45"/>
    <x v="1"/>
    <n v="18"/>
  </r>
  <r>
    <x v="41"/>
    <x v="10"/>
    <x v="4"/>
    <x v="20"/>
    <x v="0"/>
    <x v="187"/>
    <x v="1"/>
    <x v="1"/>
    <x v="4"/>
    <s v="OPEX"/>
    <s v="Variable"/>
    <x v="1"/>
    <n v="90"/>
    <x v="2"/>
    <n v="9"/>
  </r>
  <r>
    <x v="145"/>
    <x v="6"/>
    <x v="3"/>
    <x v="84"/>
    <x v="2"/>
    <x v="188"/>
    <x v="0"/>
    <x v="0"/>
    <x v="5"/>
    <s v="CAPEX"/>
    <s v="Retainer"/>
    <x v="1"/>
    <n v="45"/>
    <x v="2"/>
    <n v="8"/>
  </r>
  <r>
    <x v="88"/>
    <x v="6"/>
    <x v="8"/>
    <x v="156"/>
    <x v="0"/>
    <x v="189"/>
    <x v="0"/>
    <x v="0"/>
    <x v="2"/>
    <s v="CAPEX"/>
    <s v="Retainer"/>
    <x v="1"/>
    <n v="60"/>
    <x v="1"/>
    <n v="7"/>
  </r>
  <r>
    <x v="146"/>
    <x v="2"/>
    <x v="0"/>
    <x v="157"/>
    <x v="2"/>
    <x v="190"/>
    <x v="0"/>
    <x v="0"/>
    <x v="5"/>
    <s v="CAPEX"/>
    <s v="Variable"/>
    <x v="3"/>
    <n v="30"/>
    <x v="2"/>
    <n v="7"/>
  </r>
  <r>
    <x v="147"/>
    <x v="3"/>
    <x v="5"/>
    <x v="158"/>
    <x v="0"/>
    <x v="191"/>
    <x v="1"/>
    <x v="1"/>
    <x v="5"/>
    <s v="OPEX"/>
    <s v="Variable"/>
    <x v="1"/>
    <n v="45"/>
    <x v="0"/>
    <n v="5"/>
  </r>
  <r>
    <x v="148"/>
    <x v="10"/>
    <x v="0"/>
    <x v="159"/>
    <x v="0"/>
    <x v="192"/>
    <x v="0"/>
    <x v="1"/>
    <x v="1"/>
    <s v="OPEX"/>
    <s v="Fixed"/>
    <x v="1"/>
    <n v="45"/>
    <x v="2"/>
    <n v="14"/>
  </r>
  <r>
    <x v="149"/>
    <x v="3"/>
    <x v="1"/>
    <x v="15"/>
    <x v="2"/>
    <x v="193"/>
    <x v="0"/>
    <x v="0"/>
    <x v="3"/>
    <s v="OPEX"/>
    <s v="Fixed"/>
    <x v="1"/>
    <n v="45"/>
    <x v="0"/>
    <n v="20"/>
  </r>
  <r>
    <x v="150"/>
    <x v="7"/>
    <x v="7"/>
    <x v="160"/>
    <x v="0"/>
    <x v="194"/>
    <x v="0"/>
    <x v="1"/>
    <x v="0"/>
    <s v="OPEX"/>
    <s v="Fixed"/>
    <x v="2"/>
    <n v="45"/>
    <x v="1"/>
    <n v="19"/>
  </r>
  <r>
    <x v="151"/>
    <x v="6"/>
    <x v="3"/>
    <x v="161"/>
    <x v="0"/>
    <x v="195"/>
    <x v="1"/>
    <x v="0"/>
    <x v="2"/>
    <s v="CAPEX"/>
    <s v="Variable"/>
    <x v="1"/>
    <n v="30"/>
    <x v="0"/>
    <n v="14"/>
  </r>
  <r>
    <x v="35"/>
    <x v="7"/>
    <x v="9"/>
    <x v="96"/>
    <x v="2"/>
    <x v="196"/>
    <x v="0"/>
    <x v="0"/>
    <x v="4"/>
    <s v="CAPEX"/>
    <s v="Fixed"/>
    <x v="3"/>
    <n v="90"/>
    <x v="2"/>
    <n v="19"/>
  </r>
  <r>
    <x v="40"/>
    <x v="1"/>
    <x v="6"/>
    <x v="162"/>
    <x v="1"/>
    <x v="197"/>
    <x v="1"/>
    <x v="0"/>
    <x v="0"/>
    <s v="CAPEX"/>
    <s v="Fixed"/>
    <x v="3"/>
    <n v="60"/>
    <x v="1"/>
    <n v="6"/>
  </r>
  <r>
    <x v="152"/>
    <x v="3"/>
    <x v="7"/>
    <x v="66"/>
    <x v="0"/>
    <x v="198"/>
    <x v="0"/>
    <x v="1"/>
    <x v="2"/>
    <s v="OPEX"/>
    <s v="Variable"/>
    <x v="2"/>
    <n v="30"/>
    <x v="1"/>
    <n v="13"/>
  </r>
  <r>
    <x v="108"/>
    <x v="5"/>
    <x v="0"/>
    <x v="163"/>
    <x v="1"/>
    <x v="199"/>
    <x v="0"/>
    <x v="0"/>
    <x v="1"/>
    <s v="CAPEX"/>
    <s v="Variable"/>
    <x v="1"/>
    <n v="45"/>
    <x v="1"/>
    <n v="6"/>
  </r>
  <r>
    <x v="153"/>
    <x v="1"/>
    <x v="8"/>
    <x v="152"/>
    <x v="2"/>
    <x v="200"/>
    <x v="1"/>
    <x v="0"/>
    <x v="4"/>
    <s v="CAPEX"/>
    <s v="Fixed"/>
    <x v="2"/>
    <n v="60"/>
    <x v="0"/>
    <n v="18"/>
  </r>
  <r>
    <x v="23"/>
    <x v="1"/>
    <x v="2"/>
    <x v="97"/>
    <x v="2"/>
    <x v="201"/>
    <x v="0"/>
    <x v="0"/>
    <x v="4"/>
    <s v="CAPEX"/>
    <s v="Fixed"/>
    <x v="1"/>
    <n v="90"/>
    <x v="2"/>
    <n v="4"/>
  </r>
  <r>
    <x v="114"/>
    <x v="5"/>
    <x v="9"/>
    <x v="164"/>
    <x v="0"/>
    <x v="202"/>
    <x v="1"/>
    <x v="0"/>
    <x v="1"/>
    <s v="OPEX"/>
    <s v="Variable"/>
    <x v="3"/>
    <n v="30"/>
    <x v="0"/>
    <n v="17"/>
  </r>
  <r>
    <x v="154"/>
    <x v="3"/>
    <x v="1"/>
    <x v="165"/>
    <x v="0"/>
    <x v="203"/>
    <x v="0"/>
    <x v="1"/>
    <x v="1"/>
    <s v="CAPEX"/>
    <s v="Variable"/>
    <x v="1"/>
    <n v="90"/>
    <x v="2"/>
    <n v="4"/>
  </r>
  <r>
    <x v="91"/>
    <x v="5"/>
    <x v="0"/>
    <x v="166"/>
    <x v="1"/>
    <x v="204"/>
    <x v="0"/>
    <x v="1"/>
    <x v="3"/>
    <s v="CAPEX"/>
    <s v="Fixed"/>
    <x v="3"/>
    <n v="45"/>
    <x v="2"/>
    <n v="12"/>
  </r>
  <r>
    <x v="155"/>
    <x v="1"/>
    <x v="8"/>
    <x v="167"/>
    <x v="0"/>
    <x v="205"/>
    <x v="1"/>
    <x v="0"/>
    <x v="5"/>
    <s v="OPEX"/>
    <s v="Variable"/>
    <x v="3"/>
    <n v="45"/>
    <x v="0"/>
    <n v="6"/>
  </r>
  <r>
    <x v="156"/>
    <x v="8"/>
    <x v="3"/>
    <x v="62"/>
    <x v="1"/>
    <x v="206"/>
    <x v="0"/>
    <x v="0"/>
    <x v="0"/>
    <s v="OPEX"/>
    <s v="Fixed"/>
    <x v="3"/>
    <n v="30"/>
    <x v="1"/>
    <n v="5"/>
  </r>
  <r>
    <x v="157"/>
    <x v="10"/>
    <x v="8"/>
    <x v="168"/>
    <x v="0"/>
    <x v="207"/>
    <x v="1"/>
    <x v="1"/>
    <x v="3"/>
    <s v="OPEX"/>
    <s v="Fixed"/>
    <x v="3"/>
    <n v="45"/>
    <x v="0"/>
    <n v="6"/>
  </r>
  <r>
    <x v="158"/>
    <x v="9"/>
    <x v="2"/>
    <x v="32"/>
    <x v="2"/>
    <x v="208"/>
    <x v="1"/>
    <x v="0"/>
    <x v="5"/>
    <s v="OPEX"/>
    <s v="Variable"/>
    <x v="2"/>
    <n v="60"/>
    <x v="2"/>
    <n v="4"/>
  </r>
  <r>
    <x v="159"/>
    <x v="9"/>
    <x v="7"/>
    <x v="169"/>
    <x v="0"/>
    <x v="209"/>
    <x v="0"/>
    <x v="0"/>
    <x v="3"/>
    <s v="CAPEX"/>
    <s v="Retainer"/>
    <x v="4"/>
    <n v="30"/>
    <x v="1"/>
    <n v="10"/>
  </r>
  <r>
    <x v="160"/>
    <x v="7"/>
    <x v="7"/>
    <x v="28"/>
    <x v="1"/>
    <x v="210"/>
    <x v="0"/>
    <x v="1"/>
    <x v="3"/>
    <s v="OPEX"/>
    <s v="Fixed"/>
    <x v="1"/>
    <n v="30"/>
    <x v="1"/>
    <n v="5"/>
  </r>
  <r>
    <x v="136"/>
    <x v="7"/>
    <x v="7"/>
    <x v="13"/>
    <x v="0"/>
    <x v="211"/>
    <x v="0"/>
    <x v="0"/>
    <x v="3"/>
    <s v="OPEX"/>
    <s v="Variable"/>
    <x v="0"/>
    <n v="45"/>
    <x v="1"/>
    <n v="11"/>
  </r>
  <r>
    <x v="88"/>
    <x v="10"/>
    <x v="5"/>
    <x v="59"/>
    <x v="0"/>
    <x v="212"/>
    <x v="0"/>
    <x v="0"/>
    <x v="3"/>
    <s v="OPEX"/>
    <s v="Variable"/>
    <x v="4"/>
    <n v="45"/>
    <x v="1"/>
    <n v="8"/>
  </r>
  <r>
    <x v="25"/>
    <x v="3"/>
    <x v="4"/>
    <x v="13"/>
    <x v="0"/>
    <x v="213"/>
    <x v="1"/>
    <x v="1"/>
    <x v="4"/>
    <s v="CAPEX"/>
    <s v="Variable"/>
    <x v="4"/>
    <n v="90"/>
    <x v="2"/>
    <n v="8"/>
  </r>
  <r>
    <x v="161"/>
    <x v="11"/>
    <x v="6"/>
    <x v="110"/>
    <x v="1"/>
    <x v="214"/>
    <x v="1"/>
    <x v="1"/>
    <x v="0"/>
    <s v="OPEX"/>
    <s v="Variable"/>
    <x v="1"/>
    <n v="45"/>
    <x v="0"/>
    <n v="19"/>
  </r>
  <r>
    <x v="143"/>
    <x v="8"/>
    <x v="5"/>
    <x v="170"/>
    <x v="2"/>
    <x v="215"/>
    <x v="0"/>
    <x v="1"/>
    <x v="1"/>
    <s v="OPEX"/>
    <s v="Retainer"/>
    <x v="3"/>
    <n v="90"/>
    <x v="2"/>
    <n v="12"/>
  </r>
  <r>
    <x v="55"/>
    <x v="5"/>
    <x v="0"/>
    <x v="171"/>
    <x v="0"/>
    <x v="216"/>
    <x v="0"/>
    <x v="1"/>
    <x v="3"/>
    <s v="OPEX"/>
    <s v="Fixed"/>
    <x v="3"/>
    <n v="30"/>
    <x v="2"/>
    <n v="12"/>
  </r>
  <r>
    <x v="162"/>
    <x v="10"/>
    <x v="8"/>
    <x v="172"/>
    <x v="1"/>
    <x v="217"/>
    <x v="0"/>
    <x v="1"/>
    <x v="5"/>
    <s v="OPEX"/>
    <s v="Variable"/>
    <x v="3"/>
    <n v="45"/>
    <x v="1"/>
    <n v="18"/>
  </r>
  <r>
    <x v="70"/>
    <x v="8"/>
    <x v="0"/>
    <x v="173"/>
    <x v="1"/>
    <x v="218"/>
    <x v="0"/>
    <x v="1"/>
    <x v="5"/>
    <s v="OPEX"/>
    <s v="Fixed"/>
    <x v="0"/>
    <n v="60"/>
    <x v="2"/>
    <n v="15"/>
  </r>
  <r>
    <x v="163"/>
    <x v="1"/>
    <x v="0"/>
    <x v="44"/>
    <x v="2"/>
    <x v="219"/>
    <x v="1"/>
    <x v="1"/>
    <x v="3"/>
    <s v="OPEX"/>
    <s v="Fixed"/>
    <x v="2"/>
    <n v="90"/>
    <x v="0"/>
    <n v="16"/>
  </r>
  <r>
    <x v="92"/>
    <x v="1"/>
    <x v="8"/>
    <x v="174"/>
    <x v="2"/>
    <x v="220"/>
    <x v="0"/>
    <x v="0"/>
    <x v="4"/>
    <s v="CAPEX"/>
    <s v="Fixed"/>
    <x v="3"/>
    <n v="30"/>
    <x v="0"/>
    <n v="7"/>
  </r>
  <r>
    <x v="164"/>
    <x v="8"/>
    <x v="2"/>
    <x v="171"/>
    <x v="0"/>
    <x v="221"/>
    <x v="0"/>
    <x v="1"/>
    <x v="1"/>
    <s v="CAPEX"/>
    <s v="Variable"/>
    <x v="2"/>
    <n v="30"/>
    <x v="1"/>
    <n v="9"/>
  </r>
  <r>
    <x v="40"/>
    <x v="10"/>
    <x v="6"/>
    <x v="175"/>
    <x v="2"/>
    <x v="222"/>
    <x v="1"/>
    <x v="1"/>
    <x v="5"/>
    <s v="OPEX"/>
    <s v="Variable"/>
    <x v="3"/>
    <n v="30"/>
    <x v="2"/>
    <n v="8"/>
  </r>
  <r>
    <x v="27"/>
    <x v="6"/>
    <x v="0"/>
    <x v="176"/>
    <x v="1"/>
    <x v="223"/>
    <x v="1"/>
    <x v="0"/>
    <x v="4"/>
    <s v="CAPEX"/>
    <s v="Retainer"/>
    <x v="1"/>
    <n v="30"/>
    <x v="0"/>
    <n v="4"/>
  </r>
  <r>
    <x v="165"/>
    <x v="5"/>
    <x v="8"/>
    <x v="177"/>
    <x v="0"/>
    <x v="224"/>
    <x v="0"/>
    <x v="0"/>
    <x v="4"/>
    <s v="CAPEX"/>
    <s v="Fixed"/>
    <x v="1"/>
    <n v="90"/>
    <x v="0"/>
    <n v="8"/>
  </r>
  <r>
    <x v="155"/>
    <x v="8"/>
    <x v="2"/>
    <x v="172"/>
    <x v="0"/>
    <x v="225"/>
    <x v="0"/>
    <x v="0"/>
    <x v="4"/>
    <s v="OPEX"/>
    <s v="Retainer"/>
    <x v="4"/>
    <n v="60"/>
    <x v="2"/>
    <n v="17"/>
  </r>
  <r>
    <x v="166"/>
    <x v="6"/>
    <x v="3"/>
    <x v="178"/>
    <x v="1"/>
    <x v="226"/>
    <x v="0"/>
    <x v="0"/>
    <x v="3"/>
    <s v="OPEX"/>
    <s v="Fixed"/>
    <x v="4"/>
    <n v="45"/>
    <x v="2"/>
    <n v="6"/>
  </r>
  <r>
    <x v="167"/>
    <x v="6"/>
    <x v="9"/>
    <x v="179"/>
    <x v="2"/>
    <x v="227"/>
    <x v="1"/>
    <x v="1"/>
    <x v="5"/>
    <s v="CAPEX"/>
    <s v="Variable"/>
    <x v="2"/>
    <n v="45"/>
    <x v="2"/>
    <n v="12"/>
  </r>
  <r>
    <x v="168"/>
    <x v="2"/>
    <x v="7"/>
    <x v="180"/>
    <x v="0"/>
    <x v="228"/>
    <x v="1"/>
    <x v="0"/>
    <x v="3"/>
    <s v="OPEX"/>
    <s v="Variable"/>
    <x v="1"/>
    <n v="45"/>
    <x v="1"/>
    <n v="10"/>
  </r>
  <r>
    <x v="169"/>
    <x v="2"/>
    <x v="6"/>
    <x v="181"/>
    <x v="1"/>
    <x v="229"/>
    <x v="1"/>
    <x v="0"/>
    <x v="1"/>
    <s v="CAPEX"/>
    <s v="Variable"/>
    <x v="3"/>
    <n v="60"/>
    <x v="2"/>
    <n v="4"/>
  </r>
  <r>
    <x v="170"/>
    <x v="1"/>
    <x v="0"/>
    <x v="182"/>
    <x v="1"/>
    <x v="230"/>
    <x v="0"/>
    <x v="0"/>
    <x v="4"/>
    <s v="CAPEX"/>
    <s v="Variable"/>
    <x v="4"/>
    <n v="45"/>
    <x v="1"/>
    <n v="5"/>
  </r>
  <r>
    <x v="171"/>
    <x v="3"/>
    <x v="1"/>
    <x v="183"/>
    <x v="1"/>
    <x v="231"/>
    <x v="1"/>
    <x v="0"/>
    <x v="2"/>
    <s v="CAPEX"/>
    <s v="Retainer"/>
    <x v="2"/>
    <n v="60"/>
    <x v="2"/>
    <n v="17"/>
  </r>
  <r>
    <x v="55"/>
    <x v="7"/>
    <x v="4"/>
    <x v="184"/>
    <x v="1"/>
    <x v="232"/>
    <x v="1"/>
    <x v="1"/>
    <x v="1"/>
    <s v="CAPEX"/>
    <s v="Fixed"/>
    <x v="3"/>
    <n v="60"/>
    <x v="0"/>
    <n v="20"/>
  </r>
  <r>
    <x v="172"/>
    <x v="8"/>
    <x v="5"/>
    <x v="56"/>
    <x v="0"/>
    <x v="233"/>
    <x v="1"/>
    <x v="0"/>
    <x v="4"/>
    <s v="CAPEX"/>
    <s v="Retainer"/>
    <x v="4"/>
    <n v="30"/>
    <x v="0"/>
    <n v="3"/>
  </r>
  <r>
    <x v="173"/>
    <x v="4"/>
    <x v="5"/>
    <x v="185"/>
    <x v="1"/>
    <x v="234"/>
    <x v="0"/>
    <x v="1"/>
    <x v="3"/>
    <s v="CAPEX"/>
    <s v="Variable"/>
    <x v="1"/>
    <n v="30"/>
    <x v="0"/>
    <n v="14"/>
  </r>
  <r>
    <x v="124"/>
    <x v="8"/>
    <x v="4"/>
    <x v="186"/>
    <x v="1"/>
    <x v="235"/>
    <x v="0"/>
    <x v="0"/>
    <x v="4"/>
    <s v="OPEX"/>
    <s v="Retainer"/>
    <x v="0"/>
    <n v="90"/>
    <x v="2"/>
    <n v="6"/>
  </r>
  <r>
    <x v="174"/>
    <x v="5"/>
    <x v="1"/>
    <x v="187"/>
    <x v="0"/>
    <x v="236"/>
    <x v="1"/>
    <x v="1"/>
    <x v="5"/>
    <s v="OPEX"/>
    <s v="Retainer"/>
    <x v="4"/>
    <n v="90"/>
    <x v="0"/>
    <n v="12"/>
  </r>
  <r>
    <x v="175"/>
    <x v="1"/>
    <x v="1"/>
    <x v="188"/>
    <x v="0"/>
    <x v="237"/>
    <x v="0"/>
    <x v="0"/>
    <x v="3"/>
    <s v="CAPEX"/>
    <s v="Variable"/>
    <x v="0"/>
    <n v="60"/>
    <x v="2"/>
    <n v="8"/>
  </r>
  <r>
    <x v="176"/>
    <x v="4"/>
    <x v="5"/>
    <x v="189"/>
    <x v="2"/>
    <x v="238"/>
    <x v="1"/>
    <x v="0"/>
    <x v="3"/>
    <s v="CAPEX"/>
    <s v="Variable"/>
    <x v="1"/>
    <n v="90"/>
    <x v="0"/>
    <n v="20"/>
  </r>
  <r>
    <x v="130"/>
    <x v="5"/>
    <x v="2"/>
    <x v="190"/>
    <x v="2"/>
    <x v="239"/>
    <x v="1"/>
    <x v="1"/>
    <x v="1"/>
    <s v="CAPEX"/>
    <s v="Variable"/>
    <x v="2"/>
    <n v="45"/>
    <x v="1"/>
    <n v="9"/>
  </r>
  <r>
    <x v="177"/>
    <x v="3"/>
    <x v="9"/>
    <x v="191"/>
    <x v="0"/>
    <x v="240"/>
    <x v="0"/>
    <x v="1"/>
    <x v="4"/>
    <s v="OPEX"/>
    <s v="Fixed"/>
    <x v="3"/>
    <n v="60"/>
    <x v="0"/>
    <n v="9"/>
  </r>
  <r>
    <x v="148"/>
    <x v="0"/>
    <x v="6"/>
    <x v="120"/>
    <x v="0"/>
    <x v="241"/>
    <x v="0"/>
    <x v="1"/>
    <x v="2"/>
    <s v="OPEX"/>
    <s v="Fixed"/>
    <x v="3"/>
    <n v="45"/>
    <x v="1"/>
    <n v="11"/>
  </r>
  <r>
    <x v="178"/>
    <x v="6"/>
    <x v="0"/>
    <x v="167"/>
    <x v="0"/>
    <x v="242"/>
    <x v="0"/>
    <x v="0"/>
    <x v="2"/>
    <s v="CAPEX"/>
    <s v="Fixed"/>
    <x v="2"/>
    <n v="60"/>
    <x v="2"/>
    <n v="8"/>
  </r>
  <r>
    <x v="179"/>
    <x v="9"/>
    <x v="6"/>
    <x v="163"/>
    <x v="2"/>
    <x v="243"/>
    <x v="1"/>
    <x v="0"/>
    <x v="5"/>
    <s v="OPEX"/>
    <s v="Fixed"/>
    <x v="2"/>
    <n v="45"/>
    <x v="1"/>
    <n v="6"/>
  </r>
  <r>
    <x v="180"/>
    <x v="11"/>
    <x v="2"/>
    <x v="100"/>
    <x v="1"/>
    <x v="244"/>
    <x v="1"/>
    <x v="1"/>
    <x v="2"/>
    <s v="OPEX"/>
    <s v="Fixed"/>
    <x v="3"/>
    <n v="30"/>
    <x v="1"/>
    <n v="14"/>
  </r>
  <r>
    <x v="126"/>
    <x v="7"/>
    <x v="6"/>
    <x v="192"/>
    <x v="1"/>
    <x v="245"/>
    <x v="0"/>
    <x v="1"/>
    <x v="2"/>
    <s v="CAPEX"/>
    <s v="Retainer"/>
    <x v="0"/>
    <n v="60"/>
    <x v="2"/>
    <n v="9"/>
  </r>
  <r>
    <x v="181"/>
    <x v="3"/>
    <x v="8"/>
    <x v="193"/>
    <x v="0"/>
    <x v="246"/>
    <x v="1"/>
    <x v="1"/>
    <x v="2"/>
    <s v="CAPEX"/>
    <s v="Variable"/>
    <x v="4"/>
    <n v="90"/>
    <x v="0"/>
    <n v="4"/>
  </r>
  <r>
    <x v="182"/>
    <x v="4"/>
    <x v="3"/>
    <x v="121"/>
    <x v="0"/>
    <x v="247"/>
    <x v="0"/>
    <x v="1"/>
    <x v="5"/>
    <s v="OPEX"/>
    <s v="Retainer"/>
    <x v="2"/>
    <n v="30"/>
    <x v="1"/>
    <n v="11"/>
  </r>
  <r>
    <x v="183"/>
    <x v="2"/>
    <x v="5"/>
    <x v="194"/>
    <x v="2"/>
    <x v="248"/>
    <x v="1"/>
    <x v="1"/>
    <x v="3"/>
    <s v="CAPEX"/>
    <s v="Retainer"/>
    <x v="0"/>
    <n v="30"/>
    <x v="2"/>
    <n v="11"/>
  </r>
  <r>
    <x v="74"/>
    <x v="2"/>
    <x v="7"/>
    <x v="195"/>
    <x v="2"/>
    <x v="249"/>
    <x v="0"/>
    <x v="0"/>
    <x v="1"/>
    <s v="CAPEX"/>
    <s v="Variable"/>
    <x v="1"/>
    <n v="30"/>
    <x v="1"/>
    <n v="18"/>
  </r>
  <r>
    <x v="184"/>
    <x v="7"/>
    <x v="0"/>
    <x v="196"/>
    <x v="2"/>
    <x v="250"/>
    <x v="0"/>
    <x v="0"/>
    <x v="1"/>
    <s v="OPEX"/>
    <s v="Variable"/>
    <x v="2"/>
    <n v="45"/>
    <x v="0"/>
    <n v="17"/>
  </r>
  <r>
    <x v="50"/>
    <x v="3"/>
    <x v="3"/>
    <x v="109"/>
    <x v="2"/>
    <x v="251"/>
    <x v="0"/>
    <x v="0"/>
    <x v="4"/>
    <s v="CAPEX"/>
    <s v="Fixed"/>
    <x v="4"/>
    <n v="60"/>
    <x v="0"/>
    <n v="16"/>
  </r>
  <r>
    <x v="96"/>
    <x v="8"/>
    <x v="4"/>
    <x v="197"/>
    <x v="2"/>
    <x v="252"/>
    <x v="0"/>
    <x v="0"/>
    <x v="4"/>
    <s v="OPEX"/>
    <s v="Retainer"/>
    <x v="1"/>
    <n v="90"/>
    <x v="2"/>
    <n v="3"/>
  </r>
  <r>
    <x v="185"/>
    <x v="2"/>
    <x v="6"/>
    <x v="63"/>
    <x v="0"/>
    <x v="253"/>
    <x v="1"/>
    <x v="0"/>
    <x v="0"/>
    <s v="OPEX"/>
    <s v="Fixed"/>
    <x v="1"/>
    <n v="90"/>
    <x v="1"/>
    <n v="7"/>
  </r>
  <r>
    <x v="186"/>
    <x v="7"/>
    <x v="0"/>
    <x v="106"/>
    <x v="1"/>
    <x v="254"/>
    <x v="0"/>
    <x v="1"/>
    <x v="2"/>
    <s v="CAPEX"/>
    <s v="Retainer"/>
    <x v="1"/>
    <n v="90"/>
    <x v="2"/>
    <n v="3"/>
  </r>
  <r>
    <x v="187"/>
    <x v="9"/>
    <x v="0"/>
    <x v="198"/>
    <x v="1"/>
    <x v="255"/>
    <x v="0"/>
    <x v="0"/>
    <x v="1"/>
    <s v="CAPEX"/>
    <s v="Variable"/>
    <x v="0"/>
    <n v="90"/>
    <x v="1"/>
    <n v="3"/>
  </r>
  <r>
    <x v="188"/>
    <x v="4"/>
    <x v="1"/>
    <x v="7"/>
    <x v="2"/>
    <x v="256"/>
    <x v="0"/>
    <x v="0"/>
    <x v="4"/>
    <s v="CAPEX"/>
    <s v="Variable"/>
    <x v="0"/>
    <n v="60"/>
    <x v="2"/>
    <n v="16"/>
  </r>
  <r>
    <x v="189"/>
    <x v="8"/>
    <x v="7"/>
    <x v="187"/>
    <x v="0"/>
    <x v="257"/>
    <x v="1"/>
    <x v="1"/>
    <x v="3"/>
    <s v="CAPEX"/>
    <s v="Retainer"/>
    <x v="2"/>
    <n v="30"/>
    <x v="2"/>
    <n v="8"/>
  </r>
  <r>
    <x v="115"/>
    <x v="4"/>
    <x v="1"/>
    <x v="21"/>
    <x v="0"/>
    <x v="258"/>
    <x v="0"/>
    <x v="0"/>
    <x v="5"/>
    <s v="CAPEX"/>
    <s v="Retainer"/>
    <x v="0"/>
    <n v="60"/>
    <x v="2"/>
    <n v="13"/>
  </r>
  <r>
    <x v="164"/>
    <x v="9"/>
    <x v="5"/>
    <x v="199"/>
    <x v="2"/>
    <x v="259"/>
    <x v="1"/>
    <x v="0"/>
    <x v="4"/>
    <s v="CAPEX"/>
    <s v="Variable"/>
    <x v="3"/>
    <n v="90"/>
    <x v="0"/>
    <n v="11"/>
  </r>
  <r>
    <x v="0"/>
    <x v="4"/>
    <x v="5"/>
    <x v="171"/>
    <x v="1"/>
    <x v="260"/>
    <x v="1"/>
    <x v="0"/>
    <x v="1"/>
    <s v="CAPEX"/>
    <s v="Fixed"/>
    <x v="2"/>
    <n v="30"/>
    <x v="0"/>
    <n v="16"/>
  </r>
  <r>
    <x v="163"/>
    <x v="11"/>
    <x v="2"/>
    <x v="200"/>
    <x v="1"/>
    <x v="261"/>
    <x v="0"/>
    <x v="0"/>
    <x v="3"/>
    <s v="CAPEX"/>
    <s v="Variable"/>
    <x v="3"/>
    <n v="30"/>
    <x v="0"/>
    <n v="17"/>
  </r>
  <r>
    <x v="186"/>
    <x v="3"/>
    <x v="7"/>
    <x v="201"/>
    <x v="2"/>
    <x v="262"/>
    <x v="1"/>
    <x v="0"/>
    <x v="1"/>
    <s v="OPEX"/>
    <s v="Retainer"/>
    <x v="3"/>
    <n v="60"/>
    <x v="0"/>
    <n v="8"/>
  </r>
  <r>
    <x v="59"/>
    <x v="11"/>
    <x v="1"/>
    <x v="145"/>
    <x v="0"/>
    <x v="263"/>
    <x v="1"/>
    <x v="0"/>
    <x v="3"/>
    <s v="CAPEX"/>
    <s v="Fixed"/>
    <x v="2"/>
    <n v="30"/>
    <x v="0"/>
    <n v="18"/>
  </r>
  <r>
    <x v="190"/>
    <x v="6"/>
    <x v="0"/>
    <x v="202"/>
    <x v="1"/>
    <x v="264"/>
    <x v="0"/>
    <x v="0"/>
    <x v="0"/>
    <s v="OPEX"/>
    <s v="Fixed"/>
    <x v="3"/>
    <n v="30"/>
    <x v="1"/>
    <n v="6"/>
  </r>
  <r>
    <x v="29"/>
    <x v="10"/>
    <x v="8"/>
    <x v="203"/>
    <x v="0"/>
    <x v="265"/>
    <x v="1"/>
    <x v="1"/>
    <x v="3"/>
    <s v="CAPEX"/>
    <s v="Retainer"/>
    <x v="2"/>
    <n v="60"/>
    <x v="1"/>
    <n v="8"/>
  </r>
  <r>
    <x v="94"/>
    <x v="4"/>
    <x v="4"/>
    <x v="116"/>
    <x v="0"/>
    <x v="266"/>
    <x v="0"/>
    <x v="0"/>
    <x v="2"/>
    <s v="OPEX"/>
    <s v="Variable"/>
    <x v="1"/>
    <n v="45"/>
    <x v="1"/>
    <n v="8"/>
  </r>
  <r>
    <x v="40"/>
    <x v="2"/>
    <x v="7"/>
    <x v="162"/>
    <x v="1"/>
    <x v="267"/>
    <x v="1"/>
    <x v="0"/>
    <x v="3"/>
    <s v="OPEX"/>
    <s v="Fixed"/>
    <x v="1"/>
    <n v="30"/>
    <x v="0"/>
    <n v="11"/>
  </r>
  <r>
    <x v="191"/>
    <x v="2"/>
    <x v="8"/>
    <x v="204"/>
    <x v="0"/>
    <x v="268"/>
    <x v="1"/>
    <x v="0"/>
    <x v="5"/>
    <s v="CAPEX"/>
    <s v="Retainer"/>
    <x v="0"/>
    <n v="90"/>
    <x v="0"/>
    <n v="12"/>
  </r>
  <r>
    <x v="115"/>
    <x v="8"/>
    <x v="9"/>
    <x v="205"/>
    <x v="1"/>
    <x v="269"/>
    <x v="0"/>
    <x v="0"/>
    <x v="3"/>
    <s v="OPEX"/>
    <s v="Variable"/>
    <x v="1"/>
    <n v="60"/>
    <x v="1"/>
    <n v="12"/>
  </r>
  <r>
    <x v="187"/>
    <x v="11"/>
    <x v="7"/>
    <x v="84"/>
    <x v="2"/>
    <x v="270"/>
    <x v="1"/>
    <x v="1"/>
    <x v="2"/>
    <s v="OPEX"/>
    <s v="Fixed"/>
    <x v="3"/>
    <n v="90"/>
    <x v="2"/>
    <n v="20"/>
  </r>
  <r>
    <x v="41"/>
    <x v="2"/>
    <x v="8"/>
    <x v="168"/>
    <x v="1"/>
    <x v="271"/>
    <x v="1"/>
    <x v="1"/>
    <x v="5"/>
    <s v="OPEX"/>
    <s v="Retainer"/>
    <x v="1"/>
    <n v="30"/>
    <x v="2"/>
    <n v="15"/>
  </r>
  <r>
    <x v="58"/>
    <x v="6"/>
    <x v="5"/>
    <x v="206"/>
    <x v="2"/>
    <x v="272"/>
    <x v="1"/>
    <x v="0"/>
    <x v="5"/>
    <s v="CAPEX"/>
    <s v="Variable"/>
    <x v="1"/>
    <n v="60"/>
    <x v="0"/>
    <n v="14"/>
  </r>
  <r>
    <x v="192"/>
    <x v="0"/>
    <x v="0"/>
    <x v="207"/>
    <x v="2"/>
    <x v="273"/>
    <x v="1"/>
    <x v="1"/>
    <x v="1"/>
    <s v="CAPEX"/>
    <s v="Retainer"/>
    <x v="2"/>
    <n v="30"/>
    <x v="0"/>
    <n v="19"/>
  </r>
  <r>
    <x v="193"/>
    <x v="3"/>
    <x v="8"/>
    <x v="206"/>
    <x v="0"/>
    <x v="274"/>
    <x v="1"/>
    <x v="1"/>
    <x v="5"/>
    <s v="CAPEX"/>
    <s v="Fixed"/>
    <x v="2"/>
    <n v="45"/>
    <x v="1"/>
    <n v="15"/>
  </r>
  <r>
    <x v="194"/>
    <x v="1"/>
    <x v="2"/>
    <x v="145"/>
    <x v="1"/>
    <x v="275"/>
    <x v="1"/>
    <x v="0"/>
    <x v="5"/>
    <s v="CAPEX"/>
    <s v="Variable"/>
    <x v="1"/>
    <n v="45"/>
    <x v="2"/>
    <n v="13"/>
  </r>
  <r>
    <x v="13"/>
    <x v="2"/>
    <x v="5"/>
    <x v="208"/>
    <x v="2"/>
    <x v="276"/>
    <x v="1"/>
    <x v="0"/>
    <x v="4"/>
    <s v="OPEX"/>
    <s v="Fixed"/>
    <x v="3"/>
    <n v="60"/>
    <x v="2"/>
    <n v="11"/>
  </r>
  <r>
    <x v="107"/>
    <x v="3"/>
    <x v="3"/>
    <x v="209"/>
    <x v="0"/>
    <x v="277"/>
    <x v="0"/>
    <x v="1"/>
    <x v="0"/>
    <s v="OPEX"/>
    <s v="Retainer"/>
    <x v="1"/>
    <n v="60"/>
    <x v="2"/>
    <n v="5"/>
  </r>
  <r>
    <x v="195"/>
    <x v="11"/>
    <x v="6"/>
    <x v="48"/>
    <x v="2"/>
    <x v="278"/>
    <x v="1"/>
    <x v="1"/>
    <x v="2"/>
    <s v="CAPEX"/>
    <s v="Variable"/>
    <x v="0"/>
    <n v="30"/>
    <x v="1"/>
    <n v="7"/>
  </r>
  <r>
    <x v="92"/>
    <x v="5"/>
    <x v="2"/>
    <x v="210"/>
    <x v="1"/>
    <x v="279"/>
    <x v="1"/>
    <x v="1"/>
    <x v="0"/>
    <s v="CAPEX"/>
    <s v="Variable"/>
    <x v="3"/>
    <n v="90"/>
    <x v="2"/>
    <n v="9"/>
  </r>
  <r>
    <x v="196"/>
    <x v="7"/>
    <x v="2"/>
    <x v="28"/>
    <x v="0"/>
    <x v="280"/>
    <x v="1"/>
    <x v="1"/>
    <x v="2"/>
    <s v="CAPEX"/>
    <s v="Variable"/>
    <x v="2"/>
    <n v="30"/>
    <x v="0"/>
    <n v="16"/>
  </r>
  <r>
    <x v="139"/>
    <x v="11"/>
    <x v="2"/>
    <x v="211"/>
    <x v="1"/>
    <x v="281"/>
    <x v="0"/>
    <x v="0"/>
    <x v="2"/>
    <s v="CAPEX"/>
    <s v="Variable"/>
    <x v="4"/>
    <n v="60"/>
    <x v="1"/>
    <n v="4"/>
  </r>
  <r>
    <x v="75"/>
    <x v="5"/>
    <x v="7"/>
    <x v="212"/>
    <x v="1"/>
    <x v="282"/>
    <x v="1"/>
    <x v="0"/>
    <x v="5"/>
    <s v="OPEX"/>
    <s v="Variable"/>
    <x v="0"/>
    <n v="45"/>
    <x v="0"/>
    <n v="5"/>
  </r>
  <r>
    <x v="93"/>
    <x v="8"/>
    <x v="9"/>
    <x v="51"/>
    <x v="0"/>
    <x v="283"/>
    <x v="0"/>
    <x v="1"/>
    <x v="1"/>
    <s v="OPEX"/>
    <s v="Fixed"/>
    <x v="0"/>
    <n v="30"/>
    <x v="2"/>
    <n v="12"/>
  </r>
  <r>
    <x v="180"/>
    <x v="5"/>
    <x v="1"/>
    <x v="213"/>
    <x v="1"/>
    <x v="284"/>
    <x v="1"/>
    <x v="0"/>
    <x v="0"/>
    <s v="CAPEX"/>
    <s v="Retainer"/>
    <x v="4"/>
    <n v="30"/>
    <x v="2"/>
    <n v="8"/>
  </r>
  <r>
    <x v="69"/>
    <x v="5"/>
    <x v="1"/>
    <x v="214"/>
    <x v="0"/>
    <x v="285"/>
    <x v="0"/>
    <x v="1"/>
    <x v="5"/>
    <s v="CAPEX"/>
    <s v="Fixed"/>
    <x v="1"/>
    <n v="60"/>
    <x v="0"/>
    <n v="11"/>
  </r>
  <r>
    <x v="155"/>
    <x v="11"/>
    <x v="1"/>
    <x v="215"/>
    <x v="2"/>
    <x v="286"/>
    <x v="0"/>
    <x v="1"/>
    <x v="4"/>
    <s v="CAPEX"/>
    <s v="Variable"/>
    <x v="4"/>
    <n v="45"/>
    <x v="1"/>
    <n v="3"/>
  </r>
  <r>
    <x v="197"/>
    <x v="9"/>
    <x v="2"/>
    <x v="185"/>
    <x v="2"/>
    <x v="287"/>
    <x v="0"/>
    <x v="0"/>
    <x v="0"/>
    <s v="CAPEX"/>
    <s v="Retainer"/>
    <x v="1"/>
    <n v="60"/>
    <x v="1"/>
    <n v="14"/>
  </r>
  <r>
    <x v="198"/>
    <x v="11"/>
    <x v="7"/>
    <x v="173"/>
    <x v="2"/>
    <x v="288"/>
    <x v="0"/>
    <x v="1"/>
    <x v="2"/>
    <s v="OPEX"/>
    <s v="Variable"/>
    <x v="1"/>
    <n v="60"/>
    <x v="0"/>
    <n v="16"/>
  </r>
  <r>
    <x v="162"/>
    <x v="2"/>
    <x v="6"/>
    <x v="184"/>
    <x v="0"/>
    <x v="289"/>
    <x v="0"/>
    <x v="1"/>
    <x v="1"/>
    <s v="CAPEX"/>
    <s v="Fixed"/>
    <x v="1"/>
    <n v="45"/>
    <x v="0"/>
    <n v="11"/>
  </r>
  <r>
    <x v="108"/>
    <x v="11"/>
    <x v="9"/>
    <x v="216"/>
    <x v="0"/>
    <x v="290"/>
    <x v="0"/>
    <x v="0"/>
    <x v="0"/>
    <s v="OPEX"/>
    <s v="Retainer"/>
    <x v="3"/>
    <n v="30"/>
    <x v="2"/>
    <n v="7"/>
  </r>
  <r>
    <x v="41"/>
    <x v="9"/>
    <x v="8"/>
    <x v="217"/>
    <x v="0"/>
    <x v="291"/>
    <x v="0"/>
    <x v="0"/>
    <x v="2"/>
    <s v="OPEX"/>
    <s v="Variable"/>
    <x v="1"/>
    <n v="90"/>
    <x v="2"/>
    <n v="3"/>
  </r>
  <r>
    <x v="199"/>
    <x v="8"/>
    <x v="7"/>
    <x v="150"/>
    <x v="2"/>
    <x v="292"/>
    <x v="0"/>
    <x v="0"/>
    <x v="1"/>
    <s v="OPEX"/>
    <s v="Fixed"/>
    <x v="0"/>
    <n v="30"/>
    <x v="0"/>
    <n v="15"/>
  </r>
  <r>
    <x v="200"/>
    <x v="6"/>
    <x v="3"/>
    <x v="218"/>
    <x v="2"/>
    <x v="293"/>
    <x v="0"/>
    <x v="1"/>
    <x v="3"/>
    <s v="CAPEX"/>
    <s v="Retainer"/>
    <x v="0"/>
    <n v="90"/>
    <x v="2"/>
    <n v="8"/>
  </r>
  <r>
    <x v="63"/>
    <x v="8"/>
    <x v="8"/>
    <x v="170"/>
    <x v="0"/>
    <x v="294"/>
    <x v="1"/>
    <x v="0"/>
    <x v="0"/>
    <s v="OPEX"/>
    <s v="Fixed"/>
    <x v="0"/>
    <n v="60"/>
    <x v="1"/>
    <n v="20"/>
  </r>
  <r>
    <x v="201"/>
    <x v="2"/>
    <x v="8"/>
    <x v="6"/>
    <x v="2"/>
    <x v="295"/>
    <x v="0"/>
    <x v="1"/>
    <x v="4"/>
    <s v="OPEX"/>
    <s v="Fixed"/>
    <x v="0"/>
    <n v="60"/>
    <x v="1"/>
    <n v="19"/>
  </r>
  <r>
    <x v="202"/>
    <x v="1"/>
    <x v="1"/>
    <x v="187"/>
    <x v="2"/>
    <x v="296"/>
    <x v="1"/>
    <x v="1"/>
    <x v="1"/>
    <s v="OPEX"/>
    <s v="Fixed"/>
    <x v="2"/>
    <n v="90"/>
    <x v="1"/>
    <n v="4"/>
  </r>
  <r>
    <x v="203"/>
    <x v="10"/>
    <x v="2"/>
    <x v="219"/>
    <x v="0"/>
    <x v="297"/>
    <x v="1"/>
    <x v="0"/>
    <x v="2"/>
    <s v="CAPEX"/>
    <s v="Retainer"/>
    <x v="1"/>
    <n v="90"/>
    <x v="0"/>
    <n v="19"/>
  </r>
  <r>
    <x v="204"/>
    <x v="6"/>
    <x v="3"/>
    <x v="45"/>
    <x v="0"/>
    <x v="298"/>
    <x v="0"/>
    <x v="0"/>
    <x v="3"/>
    <s v="OPEX"/>
    <s v="Retainer"/>
    <x v="4"/>
    <n v="90"/>
    <x v="0"/>
    <n v="10"/>
  </r>
  <r>
    <x v="130"/>
    <x v="4"/>
    <x v="0"/>
    <x v="30"/>
    <x v="2"/>
    <x v="299"/>
    <x v="0"/>
    <x v="0"/>
    <x v="4"/>
    <s v="CAPEX"/>
    <s v="Variable"/>
    <x v="3"/>
    <n v="45"/>
    <x v="2"/>
    <n v="17"/>
  </r>
  <r>
    <x v="22"/>
    <x v="5"/>
    <x v="5"/>
    <x v="220"/>
    <x v="1"/>
    <x v="300"/>
    <x v="0"/>
    <x v="1"/>
    <x v="2"/>
    <s v="OPEX"/>
    <s v="Fixed"/>
    <x v="0"/>
    <n v="45"/>
    <x v="2"/>
    <n v="18"/>
  </r>
  <r>
    <x v="205"/>
    <x v="11"/>
    <x v="6"/>
    <x v="221"/>
    <x v="1"/>
    <x v="301"/>
    <x v="1"/>
    <x v="0"/>
    <x v="1"/>
    <s v="OPEX"/>
    <s v="Fixed"/>
    <x v="3"/>
    <n v="60"/>
    <x v="1"/>
    <n v="9"/>
  </r>
  <r>
    <x v="206"/>
    <x v="0"/>
    <x v="9"/>
    <x v="222"/>
    <x v="2"/>
    <x v="302"/>
    <x v="1"/>
    <x v="1"/>
    <x v="0"/>
    <s v="CAPEX"/>
    <s v="Variable"/>
    <x v="0"/>
    <n v="60"/>
    <x v="1"/>
    <n v="6"/>
  </r>
  <r>
    <x v="7"/>
    <x v="1"/>
    <x v="2"/>
    <x v="97"/>
    <x v="2"/>
    <x v="303"/>
    <x v="0"/>
    <x v="0"/>
    <x v="5"/>
    <s v="OPEX"/>
    <s v="Retainer"/>
    <x v="2"/>
    <n v="45"/>
    <x v="1"/>
    <n v="8"/>
  </r>
  <r>
    <x v="151"/>
    <x v="2"/>
    <x v="6"/>
    <x v="223"/>
    <x v="2"/>
    <x v="304"/>
    <x v="1"/>
    <x v="0"/>
    <x v="5"/>
    <s v="OPEX"/>
    <s v="Variable"/>
    <x v="0"/>
    <n v="45"/>
    <x v="1"/>
    <n v="18"/>
  </r>
  <r>
    <x v="207"/>
    <x v="6"/>
    <x v="8"/>
    <x v="224"/>
    <x v="0"/>
    <x v="305"/>
    <x v="1"/>
    <x v="0"/>
    <x v="1"/>
    <s v="OPEX"/>
    <s v="Variable"/>
    <x v="2"/>
    <n v="30"/>
    <x v="2"/>
    <n v="11"/>
  </r>
  <r>
    <x v="183"/>
    <x v="6"/>
    <x v="1"/>
    <x v="225"/>
    <x v="1"/>
    <x v="306"/>
    <x v="0"/>
    <x v="1"/>
    <x v="2"/>
    <s v="CAPEX"/>
    <s v="Retainer"/>
    <x v="1"/>
    <n v="90"/>
    <x v="2"/>
    <n v="9"/>
  </r>
  <r>
    <x v="208"/>
    <x v="1"/>
    <x v="5"/>
    <x v="193"/>
    <x v="1"/>
    <x v="307"/>
    <x v="0"/>
    <x v="1"/>
    <x v="4"/>
    <s v="CAPEX"/>
    <s v="Variable"/>
    <x v="3"/>
    <n v="60"/>
    <x v="0"/>
    <n v="17"/>
  </r>
  <r>
    <x v="209"/>
    <x v="11"/>
    <x v="6"/>
    <x v="182"/>
    <x v="1"/>
    <x v="308"/>
    <x v="0"/>
    <x v="1"/>
    <x v="3"/>
    <s v="OPEX"/>
    <s v="Fixed"/>
    <x v="3"/>
    <n v="45"/>
    <x v="0"/>
    <n v="14"/>
  </r>
  <r>
    <x v="43"/>
    <x v="5"/>
    <x v="0"/>
    <x v="215"/>
    <x v="1"/>
    <x v="309"/>
    <x v="0"/>
    <x v="1"/>
    <x v="2"/>
    <s v="OPEX"/>
    <s v="Retainer"/>
    <x v="1"/>
    <n v="30"/>
    <x v="0"/>
    <n v="6"/>
  </r>
  <r>
    <x v="75"/>
    <x v="11"/>
    <x v="8"/>
    <x v="120"/>
    <x v="0"/>
    <x v="310"/>
    <x v="0"/>
    <x v="0"/>
    <x v="2"/>
    <s v="CAPEX"/>
    <s v="Variable"/>
    <x v="1"/>
    <n v="60"/>
    <x v="0"/>
    <n v="8"/>
  </r>
  <r>
    <x v="210"/>
    <x v="4"/>
    <x v="5"/>
    <x v="226"/>
    <x v="1"/>
    <x v="311"/>
    <x v="1"/>
    <x v="1"/>
    <x v="4"/>
    <s v="CAPEX"/>
    <s v="Variable"/>
    <x v="1"/>
    <n v="30"/>
    <x v="1"/>
    <n v="20"/>
  </r>
  <r>
    <x v="83"/>
    <x v="10"/>
    <x v="8"/>
    <x v="227"/>
    <x v="1"/>
    <x v="312"/>
    <x v="0"/>
    <x v="0"/>
    <x v="3"/>
    <s v="CAPEX"/>
    <s v="Retainer"/>
    <x v="1"/>
    <n v="45"/>
    <x v="2"/>
    <n v="12"/>
  </r>
  <r>
    <x v="204"/>
    <x v="5"/>
    <x v="7"/>
    <x v="228"/>
    <x v="2"/>
    <x v="313"/>
    <x v="1"/>
    <x v="0"/>
    <x v="2"/>
    <s v="OPEX"/>
    <s v="Retainer"/>
    <x v="2"/>
    <n v="30"/>
    <x v="1"/>
    <n v="10"/>
  </r>
  <r>
    <x v="47"/>
    <x v="0"/>
    <x v="0"/>
    <x v="229"/>
    <x v="2"/>
    <x v="314"/>
    <x v="1"/>
    <x v="1"/>
    <x v="0"/>
    <s v="OPEX"/>
    <s v="Variable"/>
    <x v="2"/>
    <n v="60"/>
    <x v="2"/>
    <n v="17"/>
  </r>
  <r>
    <x v="195"/>
    <x v="10"/>
    <x v="4"/>
    <x v="230"/>
    <x v="0"/>
    <x v="315"/>
    <x v="1"/>
    <x v="1"/>
    <x v="2"/>
    <s v="CAPEX"/>
    <s v="Fixed"/>
    <x v="1"/>
    <n v="45"/>
    <x v="2"/>
    <n v="9"/>
  </r>
  <r>
    <x v="200"/>
    <x v="1"/>
    <x v="8"/>
    <x v="231"/>
    <x v="0"/>
    <x v="316"/>
    <x v="0"/>
    <x v="0"/>
    <x v="3"/>
    <s v="CAPEX"/>
    <s v="Fixed"/>
    <x v="4"/>
    <n v="45"/>
    <x v="0"/>
    <n v="10"/>
  </r>
  <r>
    <x v="211"/>
    <x v="4"/>
    <x v="8"/>
    <x v="78"/>
    <x v="0"/>
    <x v="317"/>
    <x v="1"/>
    <x v="1"/>
    <x v="0"/>
    <s v="CAPEX"/>
    <s v="Retainer"/>
    <x v="1"/>
    <n v="45"/>
    <x v="2"/>
    <n v="3"/>
  </r>
  <r>
    <x v="212"/>
    <x v="9"/>
    <x v="6"/>
    <x v="210"/>
    <x v="2"/>
    <x v="318"/>
    <x v="1"/>
    <x v="1"/>
    <x v="4"/>
    <s v="OPEX"/>
    <s v="Retainer"/>
    <x v="3"/>
    <n v="90"/>
    <x v="1"/>
    <n v="15"/>
  </r>
  <r>
    <x v="165"/>
    <x v="8"/>
    <x v="6"/>
    <x v="232"/>
    <x v="1"/>
    <x v="319"/>
    <x v="1"/>
    <x v="1"/>
    <x v="0"/>
    <s v="OPEX"/>
    <s v="Retainer"/>
    <x v="0"/>
    <n v="45"/>
    <x v="1"/>
    <n v="4"/>
  </r>
  <r>
    <x v="154"/>
    <x v="0"/>
    <x v="8"/>
    <x v="233"/>
    <x v="0"/>
    <x v="320"/>
    <x v="0"/>
    <x v="1"/>
    <x v="1"/>
    <s v="CAPEX"/>
    <s v="Variable"/>
    <x v="0"/>
    <n v="45"/>
    <x v="1"/>
    <n v="10"/>
  </r>
  <r>
    <x v="213"/>
    <x v="7"/>
    <x v="5"/>
    <x v="54"/>
    <x v="2"/>
    <x v="321"/>
    <x v="1"/>
    <x v="0"/>
    <x v="0"/>
    <s v="OPEX"/>
    <s v="Retainer"/>
    <x v="3"/>
    <n v="30"/>
    <x v="1"/>
    <n v="20"/>
  </r>
  <r>
    <x v="214"/>
    <x v="7"/>
    <x v="7"/>
    <x v="232"/>
    <x v="2"/>
    <x v="322"/>
    <x v="0"/>
    <x v="0"/>
    <x v="1"/>
    <s v="OPEX"/>
    <s v="Retainer"/>
    <x v="2"/>
    <n v="60"/>
    <x v="2"/>
    <n v="11"/>
  </r>
  <r>
    <x v="215"/>
    <x v="6"/>
    <x v="0"/>
    <x v="234"/>
    <x v="0"/>
    <x v="323"/>
    <x v="0"/>
    <x v="1"/>
    <x v="1"/>
    <s v="OPEX"/>
    <s v="Variable"/>
    <x v="1"/>
    <n v="60"/>
    <x v="2"/>
    <n v="17"/>
  </r>
  <r>
    <x v="116"/>
    <x v="11"/>
    <x v="1"/>
    <x v="1"/>
    <x v="2"/>
    <x v="324"/>
    <x v="0"/>
    <x v="1"/>
    <x v="0"/>
    <s v="CAPEX"/>
    <s v="Retainer"/>
    <x v="2"/>
    <n v="45"/>
    <x v="0"/>
    <n v="20"/>
  </r>
  <r>
    <x v="216"/>
    <x v="4"/>
    <x v="3"/>
    <x v="171"/>
    <x v="1"/>
    <x v="325"/>
    <x v="1"/>
    <x v="1"/>
    <x v="2"/>
    <s v="CAPEX"/>
    <s v="Retainer"/>
    <x v="2"/>
    <n v="60"/>
    <x v="1"/>
    <n v="18"/>
  </r>
  <r>
    <x v="217"/>
    <x v="11"/>
    <x v="0"/>
    <x v="235"/>
    <x v="1"/>
    <x v="326"/>
    <x v="0"/>
    <x v="1"/>
    <x v="2"/>
    <s v="CAPEX"/>
    <s v="Retainer"/>
    <x v="1"/>
    <n v="90"/>
    <x v="0"/>
    <n v="6"/>
  </r>
  <r>
    <x v="71"/>
    <x v="10"/>
    <x v="4"/>
    <x v="236"/>
    <x v="0"/>
    <x v="327"/>
    <x v="1"/>
    <x v="0"/>
    <x v="5"/>
    <s v="CAPEX"/>
    <s v="Fixed"/>
    <x v="1"/>
    <n v="60"/>
    <x v="0"/>
    <n v="16"/>
  </r>
  <r>
    <x v="26"/>
    <x v="3"/>
    <x v="9"/>
    <x v="237"/>
    <x v="1"/>
    <x v="328"/>
    <x v="1"/>
    <x v="1"/>
    <x v="2"/>
    <s v="CAPEX"/>
    <s v="Variable"/>
    <x v="1"/>
    <n v="60"/>
    <x v="1"/>
    <n v="4"/>
  </r>
  <r>
    <x v="218"/>
    <x v="4"/>
    <x v="5"/>
    <x v="238"/>
    <x v="1"/>
    <x v="329"/>
    <x v="0"/>
    <x v="1"/>
    <x v="1"/>
    <s v="CAPEX"/>
    <s v="Variable"/>
    <x v="1"/>
    <n v="45"/>
    <x v="1"/>
    <n v="3"/>
  </r>
  <r>
    <x v="219"/>
    <x v="5"/>
    <x v="3"/>
    <x v="239"/>
    <x v="2"/>
    <x v="330"/>
    <x v="1"/>
    <x v="0"/>
    <x v="5"/>
    <s v="CAPEX"/>
    <s v="Retainer"/>
    <x v="2"/>
    <n v="30"/>
    <x v="2"/>
    <n v="17"/>
  </r>
  <r>
    <x v="220"/>
    <x v="3"/>
    <x v="1"/>
    <x v="73"/>
    <x v="2"/>
    <x v="331"/>
    <x v="0"/>
    <x v="1"/>
    <x v="0"/>
    <s v="CAPEX"/>
    <s v="Retainer"/>
    <x v="4"/>
    <n v="60"/>
    <x v="0"/>
    <n v="4"/>
  </r>
  <r>
    <x v="221"/>
    <x v="11"/>
    <x v="7"/>
    <x v="167"/>
    <x v="2"/>
    <x v="332"/>
    <x v="0"/>
    <x v="1"/>
    <x v="4"/>
    <s v="CAPEX"/>
    <s v="Fixed"/>
    <x v="0"/>
    <n v="45"/>
    <x v="0"/>
    <n v="17"/>
  </r>
  <r>
    <x v="188"/>
    <x v="2"/>
    <x v="7"/>
    <x v="240"/>
    <x v="1"/>
    <x v="333"/>
    <x v="0"/>
    <x v="1"/>
    <x v="1"/>
    <s v="CAPEX"/>
    <s v="Variable"/>
    <x v="3"/>
    <n v="90"/>
    <x v="1"/>
    <n v="20"/>
  </r>
  <r>
    <x v="222"/>
    <x v="11"/>
    <x v="7"/>
    <x v="241"/>
    <x v="1"/>
    <x v="334"/>
    <x v="0"/>
    <x v="0"/>
    <x v="5"/>
    <s v="CAPEX"/>
    <s v="Variable"/>
    <x v="3"/>
    <n v="60"/>
    <x v="2"/>
    <n v="16"/>
  </r>
  <r>
    <x v="223"/>
    <x v="8"/>
    <x v="7"/>
    <x v="242"/>
    <x v="2"/>
    <x v="335"/>
    <x v="0"/>
    <x v="0"/>
    <x v="5"/>
    <s v="OPEX"/>
    <s v="Fixed"/>
    <x v="3"/>
    <n v="60"/>
    <x v="1"/>
    <n v="8"/>
  </r>
  <r>
    <x v="166"/>
    <x v="3"/>
    <x v="5"/>
    <x v="64"/>
    <x v="0"/>
    <x v="336"/>
    <x v="0"/>
    <x v="1"/>
    <x v="3"/>
    <s v="CAPEX"/>
    <s v="Variable"/>
    <x v="2"/>
    <n v="30"/>
    <x v="2"/>
    <n v="6"/>
  </r>
  <r>
    <x v="224"/>
    <x v="6"/>
    <x v="9"/>
    <x v="236"/>
    <x v="0"/>
    <x v="337"/>
    <x v="1"/>
    <x v="0"/>
    <x v="3"/>
    <s v="CAPEX"/>
    <s v="Variable"/>
    <x v="3"/>
    <n v="30"/>
    <x v="2"/>
    <n v="6"/>
  </r>
  <r>
    <x v="225"/>
    <x v="3"/>
    <x v="6"/>
    <x v="243"/>
    <x v="0"/>
    <x v="338"/>
    <x v="0"/>
    <x v="1"/>
    <x v="0"/>
    <s v="OPEX"/>
    <s v="Variable"/>
    <x v="0"/>
    <n v="45"/>
    <x v="0"/>
    <n v="9"/>
  </r>
  <r>
    <x v="171"/>
    <x v="2"/>
    <x v="3"/>
    <x v="244"/>
    <x v="2"/>
    <x v="339"/>
    <x v="0"/>
    <x v="1"/>
    <x v="4"/>
    <s v="CAPEX"/>
    <s v="Retainer"/>
    <x v="4"/>
    <n v="90"/>
    <x v="0"/>
    <n v="8"/>
  </r>
  <r>
    <x v="226"/>
    <x v="11"/>
    <x v="1"/>
    <x v="202"/>
    <x v="2"/>
    <x v="340"/>
    <x v="1"/>
    <x v="0"/>
    <x v="4"/>
    <s v="CAPEX"/>
    <s v="Variable"/>
    <x v="2"/>
    <n v="30"/>
    <x v="2"/>
    <n v="10"/>
  </r>
  <r>
    <x v="77"/>
    <x v="8"/>
    <x v="5"/>
    <x v="245"/>
    <x v="1"/>
    <x v="341"/>
    <x v="1"/>
    <x v="0"/>
    <x v="4"/>
    <s v="CAPEX"/>
    <s v="Fixed"/>
    <x v="2"/>
    <n v="30"/>
    <x v="1"/>
    <n v="3"/>
  </r>
  <r>
    <x v="117"/>
    <x v="8"/>
    <x v="8"/>
    <x v="246"/>
    <x v="1"/>
    <x v="342"/>
    <x v="1"/>
    <x v="0"/>
    <x v="5"/>
    <s v="CAPEX"/>
    <s v="Retainer"/>
    <x v="2"/>
    <n v="30"/>
    <x v="2"/>
    <n v="3"/>
  </r>
  <r>
    <x v="219"/>
    <x v="2"/>
    <x v="5"/>
    <x v="247"/>
    <x v="1"/>
    <x v="343"/>
    <x v="0"/>
    <x v="0"/>
    <x v="0"/>
    <s v="CAPEX"/>
    <s v="Retainer"/>
    <x v="1"/>
    <n v="90"/>
    <x v="2"/>
    <n v="11"/>
  </r>
  <r>
    <x v="227"/>
    <x v="6"/>
    <x v="2"/>
    <x v="248"/>
    <x v="2"/>
    <x v="344"/>
    <x v="1"/>
    <x v="1"/>
    <x v="4"/>
    <s v="OPEX"/>
    <s v="Variable"/>
    <x v="1"/>
    <n v="45"/>
    <x v="2"/>
    <n v="9"/>
  </r>
  <r>
    <x v="228"/>
    <x v="10"/>
    <x v="2"/>
    <x v="179"/>
    <x v="2"/>
    <x v="345"/>
    <x v="1"/>
    <x v="0"/>
    <x v="3"/>
    <s v="CAPEX"/>
    <s v="Retainer"/>
    <x v="3"/>
    <n v="30"/>
    <x v="0"/>
    <n v="16"/>
  </r>
  <r>
    <x v="229"/>
    <x v="11"/>
    <x v="9"/>
    <x v="249"/>
    <x v="0"/>
    <x v="346"/>
    <x v="0"/>
    <x v="0"/>
    <x v="4"/>
    <s v="OPEX"/>
    <s v="Variable"/>
    <x v="3"/>
    <n v="60"/>
    <x v="1"/>
    <n v="3"/>
  </r>
  <r>
    <x v="230"/>
    <x v="2"/>
    <x v="2"/>
    <x v="250"/>
    <x v="1"/>
    <x v="347"/>
    <x v="1"/>
    <x v="0"/>
    <x v="0"/>
    <s v="CAPEX"/>
    <s v="Variable"/>
    <x v="3"/>
    <n v="60"/>
    <x v="0"/>
    <n v="16"/>
  </r>
  <r>
    <x v="231"/>
    <x v="8"/>
    <x v="6"/>
    <x v="42"/>
    <x v="0"/>
    <x v="348"/>
    <x v="0"/>
    <x v="0"/>
    <x v="4"/>
    <s v="OPEX"/>
    <s v="Variable"/>
    <x v="3"/>
    <n v="45"/>
    <x v="0"/>
    <n v="17"/>
  </r>
  <r>
    <x v="70"/>
    <x v="9"/>
    <x v="7"/>
    <x v="124"/>
    <x v="0"/>
    <x v="349"/>
    <x v="1"/>
    <x v="1"/>
    <x v="0"/>
    <s v="CAPEX"/>
    <s v="Fixed"/>
    <x v="3"/>
    <n v="30"/>
    <x v="1"/>
    <n v="10"/>
  </r>
  <r>
    <x v="32"/>
    <x v="11"/>
    <x v="2"/>
    <x v="31"/>
    <x v="2"/>
    <x v="350"/>
    <x v="0"/>
    <x v="1"/>
    <x v="3"/>
    <s v="CAPEX"/>
    <s v="Retainer"/>
    <x v="1"/>
    <n v="90"/>
    <x v="1"/>
    <n v="7"/>
  </r>
  <r>
    <x v="232"/>
    <x v="2"/>
    <x v="1"/>
    <x v="251"/>
    <x v="0"/>
    <x v="351"/>
    <x v="1"/>
    <x v="0"/>
    <x v="3"/>
    <s v="CAPEX"/>
    <s v="Fixed"/>
    <x v="3"/>
    <n v="30"/>
    <x v="2"/>
    <n v="5"/>
  </r>
  <r>
    <x v="233"/>
    <x v="2"/>
    <x v="5"/>
    <x v="252"/>
    <x v="1"/>
    <x v="352"/>
    <x v="1"/>
    <x v="1"/>
    <x v="5"/>
    <s v="CAPEX"/>
    <s v="Variable"/>
    <x v="1"/>
    <n v="60"/>
    <x v="0"/>
    <n v="20"/>
  </r>
  <r>
    <x v="59"/>
    <x v="2"/>
    <x v="9"/>
    <x v="103"/>
    <x v="0"/>
    <x v="353"/>
    <x v="0"/>
    <x v="1"/>
    <x v="1"/>
    <s v="CAPEX"/>
    <s v="Variable"/>
    <x v="3"/>
    <n v="90"/>
    <x v="2"/>
    <n v="16"/>
  </r>
  <r>
    <x v="141"/>
    <x v="4"/>
    <x v="9"/>
    <x v="3"/>
    <x v="1"/>
    <x v="354"/>
    <x v="0"/>
    <x v="1"/>
    <x v="2"/>
    <s v="CAPEX"/>
    <s v="Fixed"/>
    <x v="4"/>
    <n v="90"/>
    <x v="2"/>
    <n v="4"/>
  </r>
  <r>
    <x v="234"/>
    <x v="1"/>
    <x v="2"/>
    <x v="108"/>
    <x v="1"/>
    <x v="355"/>
    <x v="1"/>
    <x v="1"/>
    <x v="5"/>
    <s v="OPEX"/>
    <s v="Variable"/>
    <x v="1"/>
    <n v="45"/>
    <x v="0"/>
    <n v="16"/>
  </r>
  <r>
    <x v="45"/>
    <x v="0"/>
    <x v="5"/>
    <x v="167"/>
    <x v="0"/>
    <x v="356"/>
    <x v="0"/>
    <x v="1"/>
    <x v="4"/>
    <s v="OPEX"/>
    <s v="Fixed"/>
    <x v="0"/>
    <n v="30"/>
    <x v="1"/>
    <n v="8"/>
  </r>
  <r>
    <x v="235"/>
    <x v="6"/>
    <x v="6"/>
    <x v="253"/>
    <x v="1"/>
    <x v="357"/>
    <x v="0"/>
    <x v="1"/>
    <x v="4"/>
    <s v="OPEX"/>
    <s v="Retainer"/>
    <x v="3"/>
    <n v="45"/>
    <x v="0"/>
    <n v="15"/>
  </r>
  <r>
    <x v="100"/>
    <x v="8"/>
    <x v="0"/>
    <x v="254"/>
    <x v="0"/>
    <x v="358"/>
    <x v="1"/>
    <x v="0"/>
    <x v="2"/>
    <s v="CAPEX"/>
    <s v="Variable"/>
    <x v="2"/>
    <n v="60"/>
    <x v="0"/>
    <n v="18"/>
  </r>
  <r>
    <x v="208"/>
    <x v="10"/>
    <x v="6"/>
    <x v="99"/>
    <x v="2"/>
    <x v="359"/>
    <x v="1"/>
    <x v="1"/>
    <x v="5"/>
    <s v="CAPEX"/>
    <s v="Fixed"/>
    <x v="0"/>
    <n v="90"/>
    <x v="2"/>
    <n v="20"/>
  </r>
  <r>
    <x v="179"/>
    <x v="8"/>
    <x v="3"/>
    <x v="255"/>
    <x v="1"/>
    <x v="360"/>
    <x v="0"/>
    <x v="0"/>
    <x v="2"/>
    <s v="OPEX"/>
    <s v="Variable"/>
    <x v="0"/>
    <n v="30"/>
    <x v="2"/>
    <n v="20"/>
  </r>
  <r>
    <x v="83"/>
    <x v="0"/>
    <x v="9"/>
    <x v="256"/>
    <x v="2"/>
    <x v="361"/>
    <x v="0"/>
    <x v="1"/>
    <x v="4"/>
    <s v="CAPEX"/>
    <s v="Variable"/>
    <x v="2"/>
    <n v="30"/>
    <x v="2"/>
    <n v="20"/>
  </r>
  <r>
    <x v="236"/>
    <x v="6"/>
    <x v="7"/>
    <x v="143"/>
    <x v="1"/>
    <x v="362"/>
    <x v="0"/>
    <x v="1"/>
    <x v="1"/>
    <s v="OPEX"/>
    <s v="Variable"/>
    <x v="0"/>
    <n v="60"/>
    <x v="2"/>
    <n v="19"/>
  </r>
  <r>
    <x v="237"/>
    <x v="9"/>
    <x v="4"/>
    <x v="160"/>
    <x v="2"/>
    <x v="363"/>
    <x v="1"/>
    <x v="0"/>
    <x v="4"/>
    <s v="OPEX"/>
    <s v="Variable"/>
    <x v="1"/>
    <n v="90"/>
    <x v="0"/>
    <n v="5"/>
  </r>
  <r>
    <x v="47"/>
    <x v="8"/>
    <x v="4"/>
    <x v="151"/>
    <x v="1"/>
    <x v="364"/>
    <x v="1"/>
    <x v="0"/>
    <x v="0"/>
    <s v="CAPEX"/>
    <s v="Fixed"/>
    <x v="0"/>
    <n v="90"/>
    <x v="0"/>
    <n v="9"/>
  </r>
  <r>
    <x v="238"/>
    <x v="4"/>
    <x v="6"/>
    <x v="173"/>
    <x v="0"/>
    <x v="365"/>
    <x v="0"/>
    <x v="1"/>
    <x v="4"/>
    <s v="CAPEX"/>
    <s v="Variable"/>
    <x v="1"/>
    <n v="45"/>
    <x v="0"/>
    <n v="9"/>
  </r>
  <r>
    <x v="239"/>
    <x v="8"/>
    <x v="8"/>
    <x v="101"/>
    <x v="0"/>
    <x v="366"/>
    <x v="1"/>
    <x v="0"/>
    <x v="3"/>
    <s v="CAPEX"/>
    <s v="Retainer"/>
    <x v="1"/>
    <n v="60"/>
    <x v="1"/>
    <n v="4"/>
  </r>
  <r>
    <x v="159"/>
    <x v="6"/>
    <x v="0"/>
    <x v="257"/>
    <x v="0"/>
    <x v="367"/>
    <x v="1"/>
    <x v="0"/>
    <x v="3"/>
    <s v="OPEX"/>
    <s v="Fixed"/>
    <x v="4"/>
    <n v="90"/>
    <x v="1"/>
    <n v="19"/>
  </r>
  <r>
    <x v="115"/>
    <x v="4"/>
    <x v="9"/>
    <x v="25"/>
    <x v="2"/>
    <x v="368"/>
    <x v="0"/>
    <x v="1"/>
    <x v="3"/>
    <s v="CAPEX"/>
    <s v="Retainer"/>
    <x v="2"/>
    <n v="90"/>
    <x v="1"/>
    <n v="15"/>
  </r>
  <r>
    <x v="240"/>
    <x v="2"/>
    <x v="6"/>
    <x v="115"/>
    <x v="0"/>
    <x v="369"/>
    <x v="1"/>
    <x v="0"/>
    <x v="0"/>
    <s v="CAPEX"/>
    <s v="Retainer"/>
    <x v="1"/>
    <n v="30"/>
    <x v="2"/>
    <n v="3"/>
  </r>
  <r>
    <x v="147"/>
    <x v="5"/>
    <x v="5"/>
    <x v="14"/>
    <x v="1"/>
    <x v="370"/>
    <x v="0"/>
    <x v="1"/>
    <x v="2"/>
    <s v="OPEX"/>
    <s v="Retainer"/>
    <x v="1"/>
    <n v="45"/>
    <x v="1"/>
    <n v="6"/>
  </r>
  <r>
    <x v="213"/>
    <x v="1"/>
    <x v="1"/>
    <x v="258"/>
    <x v="0"/>
    <x v="371"/>
    <x v="1"/>
    <x v="1"/>
    <x v="0"/>
    <s v="OPEX"/>
    <s v="Fixed"/>
    <x v="1"/>
    <n v="60"/>
    <x v="1"/>
    <n v="18"/>
  </r>
  <r>
    <x v="135"/>
    <x v="5"/>
    <x v="9"/>
    <x v="259"/>
    <x v="2"/>
    <x v="372"/>
    <x v="1"/>
    <x v="0"/>
    <x v="3"/>
    <s v="CAPEX"/>
    <s v="Retainer"/>
    <x v="3"/>
    <n v="30"/>
    <x v="1"/>
    <n v="3"/>
  </r>
  <r>
    <x v="60"/>
    <x v="2"/>
    <x v="9"/>
    <x v="59"/>
    <x v="2"/>
    <x v="373"/>
    <x v="0"/>
    <x v="0"/>
    <x v="0"/>
    <s v="CAPEX"/>
    <s v="Fixed"/>
    <x v="3"/>
    <n v="90"/>
    <x v="0"/>
    <n v="12"/>
  </r>
  <r>
    <x v="241"/>
    <x v="10"/>
    <x v="1"/>
    <x v="23"/>
    <x v="2"/>
    <x v="374"/>
    <x v="0"/>
    <x v="0"/>
    <x v="2"/>
    <s v="OPEX"/>
    <s v="Variable"/>
    <x v="0"/>
    <n v="60"/>
    <x v="0"/>
    <n v="14"/>
  </r>
  <r>
    <x v="127"/>
    <x v="11"/>
    <x v="5"/>
    <x v="98"/>
    <x v="2"/>
    <x v="375"/>
    <x v="0"/>
    <x v="1"/>
    <x v="1"/>
    <s v="OPEX"/>
    <s v="Variable"/>
    <x v="1"/>
    <n v="90"/>
    <x v="2"/>
    <n v="5"/>
  </r>
  <r>
    <x v="242"/>
    <x v="5"/>
    <x v="7"/>
    <x v="113"/>
    <x v="2"/>
    <x v="376"/>
    <x v="0"/>
    <x v="1"/>
    <x v="4"/>
    <s v="CAPEX"/>
    <s v="Variable"/>
    <x v="1"/>
    <n v="45"/>
    <x v="1"/>
    <n v="3"/>
  </r>
  <r>
    <x v="243"/>
    <x v="8"/>
    <x v="3"/>
    <x v="260"/>
    <x v="0"/>
    <x v="377"/>
    <x v="0"/>
    <x v="0"/>
    <x v="4"/>
    <s v="OPEX"/>
    <s v="Variable"/>
    <x v="2"/>
    <n v="60"/>
    <x v="0"/>
    <n v="13"/>
  </r>
  <r>
    <x v="155"/>
    <x v="7"/>
    <x v="9"/>
    <x v="261"/>
    <x v="0"/>
    <x v="378"/>
    <x v="1"/>
    <x v="1"/>
    <x v="1"/>
    <s v="OPEX"/>
    <s v="Variable"/>
    <x v="1"/>
    <n v="45"/>
    <x v="1"/>
    <n v="14"/>
  </r>
  <r>
    <x v="244"/>
    <x v="11"/>
    <x v="2"/>
    <x v="207"/>
    <x v="2"/>
    <x v="379"/>
    <x v="0"/>
    <x v="0"/>
    <x v="3"/>
    <s v="OPEX"/>
    <s v="Retainer"/>
    <x v="0"/>
    <n v="30"/>
    <x v="1"/>
    <n v="18"/>
  </r>
  <r>
    <x v="68"/>
    <x v="9"/>
    <x v="1"/>
    <x v="262"/>
    <x v="0"/>
    <x v="380"/>
    <x v="1"/>
    <x v="0"/>
    <x v="3"/>
    <s v="CAPEX"/>
    <s v="Retainer"/>
    <x v="1"/>
    <n v="90"/>
    <x v="0"/>
    <n v="20"/>
  </r>
  <r>
    <x v="245"/>
    <x v="3"/>
    <x v="1"/>
    <x v="214"/>
    <x v="0"/>
    <x v="381"/>
    <x v="1"/>
    <x v="1"/>
    <x v="5"/>
    <s v="OPEX"/>
    <s v="Retainer"/>
    <x v="1"/>
    <n v="30"/>
    <x v="2"/>
    <n v="8"/>
  </r>
  <r>
    <x v="10"/>
    <x v="1"/>
    <x v="5"/>
    <x v="263"/>
    <x v="1"/>
    <x v="382"/>
    <x v="0"/>
    <x v="1"/>
    <x v="4"/>
    <s v="CAPEX"/>
    <s v="Retainer"/>
    <x v="0"/>
    <n v="90"/>
    <x v="1"/>
    <n v="14"/>
  </r>
  <r>
    <x v="189"/>
    <x v="5"/>
    <x v="7"/>
    <x v="264"/>
    <x v="1"/>
    <x v="383"/>
    <x v="1"/>
    <x v="1"/>
    <x v="1"/>
    <s v="CAPEX"/>
    <s v="Fixed"/>
    <x v="4"/>
    <n v="30"/>
    <x v="0"/>
    <n v="17"/>
  </r>
  <r>
    <x v="246"/>
    <x v="9"/>
    <x v="7"/>
    <x v="196"/>
    <x v="1"/>
    <x v="384"/>
    <x v="1"/>
    <x v="0"/>
    <x v="5"/>
    <s v="CAPEX"/>
    <s v="Variable"/>
    <x v="4"/>
    <n v="45"/>
    <x v="2"/>
    <n v="9"/>
  </r>
  <r>
    <x v="247"/>
    <x v="4"/>
    <x v="8"/>
    <x v="265"/>
    <x v="0"/>
    <x v="385"/>
    <x v="0"/>
    <x v="0"/>
    <x v="0"/>
    <s v="CAPEX"/>
    <s v="Fixed"/>
    <x v="4"/>
    <n v="90"/>
    <x v="2"/>
    <n v="10"/>
  </r>
  <r>
    <x v="248"/>
    <x v="9"/>
    <x v="5"/>
    <x v="133"/>
    <x v="0"/>
    <x v="386"/>
    <x v="0"/>
    <x v="1"/>
    <x v="2"/>
    <s v="OPEX"/>
    <s v="Retainer"/>
    <x v="3"/>
    <n v="90"/>
    <x v="1"/>
    <n v="17"/>
  </r>
  <r>
    <x v="4"/>
    <x v="4"/>
    <x v="8"/>
    <x v="266"/>
    <x v="2"/>
    <x v="387"/>
    <x v="0"/>
    <x v="1"/>
    <x v="0"/>
    <s v="OPEX"/>
    <s v="Fixed"/>
    <x v="2"/>
    <n v="30"/>
    <x v="2"/>
    <n v="18"/>
  </r>
  <r>
    <x v="80"/>
    <x v="7"/>
    <x v="7"/>
    <x v="267"/>
    <x v="1"/>
    <x v="388"/>
    <x v="0"/>
    <x v="1"/>
    <x v="3"/>
    <s v="OPEX"/>
    <s v="Variable"/>
    <x v="3"/>
    <n v="90"/>
    <x v="1"/>
    <n v="16"/>
  </r>
  <r>
    <x v="249"/>
    <x v="2"/>
    <x v="6"/>
    <x v="155"/>
    <x v="1"/>
    <x v="389"/>
    <x v="1"/>
    <x v="0"/>
    <x v="0"/>
    <s v="OPEX"/>
    <s v="Retainer"/>
    <x v="4"/>
    <n v="60"/>
    <x v="2"/>
    <n v="14"/>
  </r>
  <r>
    <x v="250"/>
    <x v="3"/>
    <x v="3"/>
    <x v="103"/>
    <x v="1"/>
    <x v="390"/>
    <x v="0"/>
    <x v="1"/>
    <x v="3"/>
    <s v="CAPEX"/>
    <s v="Fixed"/>
    <x v="3"/>
    <n v="90"/>
    <x v="1"/>
    <n v="6"/>
  </r>
  <r>
    <x v="244"/>
    <x v="11"/>
    <x v="1"/>
    <x v="268"/>
    <x v="2"/>
    <x v="391"/>
    <x v="0"/>
    <x v="1"/>
    <x v="0"/>
    <s v="CAPEX"/>
    <s v="Retainer"/>
    <x v="4"/>
    <n v="60"/>
    <x v="0"/>
    <n v="15"/>
  </r>
  <r>
    <x v="251"/>
    <x v="11"/>
    <x v="5"/>
    <x v="269"/>
    <x v="2"/>
    <x v="392"/>
    <x v="0"/>
    <x v="1"/>
    <x v="0"/>
    <s v="OPEX"/>
    <s v="Variable"/>
    <x v="1"/>
    <n v="30"/>
    <x v="0"/>
    <n v="12"/>
  </r>
  <r>
    <x v="123"/>
    <x v="0"/>
    <x v="7"/>
    <x v="270"/>
    <x v="1"/>
    <x v="393"/>
    <x v="0"/>
    <x v="1"/>
    <x v="5"/>
    <s v="OPEX"/>
    <s v="Retainer"/>
    <x v="4"/>
    <n v="90"/>
    <x v="0"/>
    <n v="5"/>
  </r>
  <r>
    <x v="252"/>
    <x v="4"/>
    <x v="2"/>
    <x v="236"/>
    <x v="0"/>
    <x v="394"/>
    <x v="1"/>
    <x v="0"/>
    <x v="3"/>
    <s v="CAPEX"/>
    <s v="Variable"/>
    <x v="1"/>
    <n v="60"/>
    <x v="1"/>
    <n v="16"/>
  </r>
  <r>
    <x v="17"/>
    <x v="8"/>
    <x v="8"/>
    <x v="167"/>
    <x v="1"/>
    <x v="395"/>
    <x v="1"/>
    <x v="1"/>
    <x v="3"/>
    <s v="OPEX"/>
    <s v="Fixed"/>
    <x v="3"/>
    <n v="60"/>
    <x v="1"/>
    <n v="13"/>
  </r>
  <r>
    <x v="26"/>
    <x v="6"/>
    <x v="5"/>
    <x v="163"/>
    <x v="1"/>
    <x v="396"/>
    <x v="0"/>
    <x v="1"/>
    <x v="0"/>
    <s v="OPEX"/>
    <s v="Fixed"/>
    <x v="3"/>
    <n v="30"/>
    <x v="1"/>
    <n v="6"/>
  </r>
  <r>
    <x v="12"/>
    <x v="1"/>
    <x v="3"/>
    <x v="271"/>
    <x v="2"/>
    <x v="397"/>
    <x v="0"/>
    <x v="1"/>
    <x v="4"/>
    <s v="OPEX"/>
    <s v="Fixed"/>
    <x v="3"/>
    <n v="30"/>
    <x v="2"/>
    <n v="13"/>
  </r>
  <r>
    <x v="49"/>
    <x v="9"/>
    <x v="2"/>
    <x v="272"/>
    <x v="1"/>
    <x v="398"/>
    <x v="1"/>
    <x v="1"/>
    <x v="5"/>
    <s v="CAPEX"/>
    <s v="Fixed"/>
    <x v="3"/>
    <n v="60"/>
    <x v="1"/>
    <n v="17"/>
  </r>
  <r>
    <x v="253"/>
    <x v="10"/>
    <x v="1"/>
    <x v="273"/>
    <x v="0"/>
    <x v="399"/>
    <x v="1"/>
    <x v="0"/>
    <x v="2"/>
    <s v="CAPEX"/>
    <s v="Variable"/>
    <x v="0"/>
    <n v="45"/>
    <x v="0"/>
    <n v="18"/>
  </r>
  <r>
    <x v="61"/>
    <x v="7"/>
    <x v="3"/>
    <x v="69"/>
    <x v="2"/>
    <x v="400"/>
    <x v="1"/>
    <x v="0"/>
    <x v="3"/>
    <s v="OPEX"/>
    <s v="Fixed"/>
    <x v="1"/>
    <n v="30"/>
    <x v="1"/>
    <n v="10"/>
  </r>
  <r>
    <x v="179"/>
    <x v="6"/>
    <x v="6"/>
    <x v="188"/>
    <x v="2"/>
    <x v="401"/>
    <x v="0"/>
    <x v="1"/>
    <x v="3"/>
    <s v="CAPEX"/>
    <s v="Fixed"/>
    <x v="2"/>
    <n v="30"/>
    <x v="0"/>
    <n v="20"/>
  </r>
  <r>
    <x v="254"/>
    <x v="6"/>
    <x v="9"/>
    <x v="274"/>
    <x v="0"/>
    <x v="402"/>
    <x v="0"/>
    <x v="1"/>
    <x v="1"/>
    <s v="CAPEX"/>
    <s v="Fixed"/>
    <x v="1"/>
    <n v="45"/>
    <x v="2"/>
    <n v="15"/>
  </r>
  <r>
    <x v="164"/>
    <x v="7"/>
    <x v="7"/>
    <x v="195"/>
    <x v="0"/>
    <x v="403"/>
    <x v="0"/>
    <x v="1"/>
    <x v="1"/>
    <s v="OPEX"/>
    <s v="Fixed"/>
    <x v="0"/>
    <n v="60"/>
    <x v="2"/>
    <n v="4"/>
  </r>
  <r>
    <x v="255"/>
    <x v="2"/>
    <x v="0"/>
    <x v="275"/>
    <x v="0"/>
    <x v="404"/>
    <x v="1"/>
    <x v="1"/>
    <x v="0"/>
    <s v="OPEX"/>
    <s v="Variable"/>
    <x v="1"/>
    <n v="60"/>
    <x v="2"/>
    <n v="20"/>
  </r>
  <r>
    <x v="234"/>
    <x v="2"/>
    <x v="4"/>
    <x v="189"/>
    <x v="2"/>
    <x v="405"/>
    <x v="0"/>
    <x v="0"/>
    <x v="5"/>
    <s v="CAPEX"/>
    <s v="Retainer"/>
    <x v="3"/>
    <n v="90"/>
    <x v="0"/>
    <n v="9"/>
  </r>
  <r>
    <x v="256"/>
    <x v="7"/>
    <x v="3"/>
    <x v="223"/>
    <x v="2"/>
    <x v="406"/>
    <x v="0"/>
    <x v="0"/>
    <x v="4"/>
    <s v="CAPEX"/>
    <s v="Variable"/>
    <x v="2"/>
    <n v="90"/>
    <x v="1"/>
    <n v="9"/>
  </r>
  <r>
    <x v="93"/>
    <x v="9"/>
    <x v="5"/>
    <x v="276"/>
    <x v="0"/>
    <x v="407"/>
    <x v="0"/>
    <x v="0"/>
    <x v="3"/>
    <s v="OPEX"/>
    <s v="Variable"/>
    <x v="1"/>
    <n v="45"/>
    <x v="1"/>
    <n v="4"/>
  </r>
  <r>
    <x v="92"/>
    <x v="9"/>
    <x v="2"/>
    <x v="277"/>
    <x v="2"/>
    <x v="408"/>
    <x v="0"/>
    <x v="0"/>
    <x v="2"/>
    <s v="OPEX"/>
    <s v="Fixed"/>
    <x v="2"/>
    <n v="30"/>
    <x v="0"/>
    <n v="5"/>
  </r>
  <r>
    <x v="188"/>
    <x v="9"/>
    <x v="6"/>
    <x v="278"/>
    <x v="1"/>
    <x v="409"/>
    <x v="0"/>
    <x v="0"/>
    <x v="2"/>
    <s v="OPEX"/>
    <s v="Fixed"/>
    <x v="4"/>
    <n v="90"/>
    <x v="2"/>
    <n v="9"/>
  </r>
  <r>
    <x v="74"/>
    <x v="1"/>
    <x v="5"/>
    <x v="45"/>
    <x v="0"/>
    <x v="410"/>
    <x v="1"/>
    <x v="1"/>
    <x v="3"/>
    <s v="OPEX"/>
    <s v="Retainer"/>
    <x v="1"/>
    <n v="60"/>
    <x v="2"/>
    <n v="6"/>
  </r>
  <r>
    <x v="67"/>
    <x v="9"/>
    <x v="4"/>
    <x v="279"/>
    <x v="1"/>
    <x v="411"/>
    <x v="0"/>
    <x v="0"/>
    <x v="2"/>
    <s v="OPEX"/>
    <s v="Retainer"/>
    <x v="4"/>
    <n v="60"/>
    <x v="0"/>
    <n v="19"/>
  </r>
  <r>
    <x v="90"/>
    <x v="11"/>
    <x v="5"/>
    <x v="140"/>
    <x v="1"/>
    <x v="412"/>
    <x v="0"/>
    <x v="0"/>
    <x v="1"/>
    <s v="CAPEX"/>
    <s v="Variable"/>
    <x v="0"/>
    <n v="90"/>
    <x v="1"/>
    <n v="13"/>
  </r>
  <r>
    <x v="229"/>
    <x v="8"/>
    <x v="5"/>
    <x v="280"/>
    <x v="0"/>
    <x v="413"/>
    <x v="1"/>
    <x v="1"/>
    <x v="4"/>
    <s v="CAPEX"/>
    <s v="Fixed"/>
    <x v="2"/>
    <n v="90"/>
    <x v="1"/>
    <n v="8"/>
  </r>
  <r>
    <x v="257"/>
    <x v="6"/>
    <x v="1"/>
    <x v="281"/>
    <x v="2"/>
    <x v="414"/>
    <x v="1"/>
    <x v="1"/>
    <x v="5"/>
    <s v="CAPEX"/>
    <s v="Retainer"/>
    <x v="0"/>
    <n v="60"/>
    <x v="1"/>
    <n v="9"/>
  </r>
  <r>
    <x v="185"/>
    <x v="0"/>
    <x v="0"/>
    <x v="14"/>
    <x v="2"/>
    <x v="415"/>
    <x v="1"/>
    <x v="0"/>
    <x v="3"/>
    <s v="CAPEX"/>
    <s v="Fixed"/>
    <x v="1"/>
    <n v="45"/>
    <x v="0"/>
    <n v="19"/>
  </r>
  <r>
    <x v="49"/>
    <x v="2"/>
    <x v="1"/>
    <x v="11"/>
    <x v="0"/>
    <x v="416"/>
    <x v="0"/>
    <x v="1"/>
    <x v="5"/>
    <s v="OPEX"/>
    <s v="Variable"/>
    <x v="3"/>
    <n v="60"/>
    <x v="1"/>
    <n v="17"/>
  </r>
  <r>
    <x v="68"/>
    <x v="0"/>
    <x v="5"/>
    <x v="282"/>
    <x v="0"/>
    <x v="417"/>
    <x v="1"/>
    <x v="0"/>
    <x v="5"/>
    <s v="OPEX"/>
    <s v="Fixed"/>
    <x v="0"/>
    <n v="90"/>
    <x v="1"/>
    <n v="9"/>
  </r>
  <r>
    <x v="246"/>
    <x v="3"/>
    <x v="3"/>
    <x v="49"/>
    <x v="1"/>
    <x v="418"/>
    <x v="0"/>
    <x v="1"/>
    <x v="2"/>
    <s v="CAPEX"/>
    <s v="Retainer"/>
    <x v="0"/>
    <n v="90"/>
    <x v="1"/>
    <n v="11"/>
  </r>
  <r>
    <x v="165"/>
    <x v="10"/>
    <x v="4"/>
    <x v="22"/>
    <x v="2"/>
    <x v="419"/>
    <x v="1"/>
    <x v="1"/>
    <x v="1"/>
    <s v="OPEX"/>
    <s v="Retainer"/>
    <x v="1"/>
    <n v="30"/>
    <x v="0"/>
    <n v="19"/>
  </r>
  <r>
    <x v="78"/>
    <x v="8"/>
    <x v="0"/>
    <x v="273"/>
    <x v="0"/>
    <x v="420"/>
    <x v="0"/>
    <x v="0"/>
    <x v="1"/>
    <s v="CAPEX"/>
    <s v="Fixed"/>
    <x v="2"/>
    <n v="60"/>
    <x v="0"/>
    <n v="12"/>
  </r>
  <r>
    <x v="231"/>
    <x v="10"/>
    <x v="2"/>
    <x v="164"/>
    <x v="1"/>
    <x v="421"/>
    <x v="1"/>
    <x v="0"/>
    <x v="5"/>
    <s v="CAPEX"/>
    <s v="Variable"/>
    <x v="1"/>
    <n v="90"/>
    <x v="2"/>
    <n v="20"/>
  </r>
  <r>
    <x v="119"/>
    <x v="1"/>
    <x v="3"/>
    <x v="10"/>
    <x v="1"/>
    <x v="422"/>
    <x v="1"/>
    <x v="0"/>
    <x v="2"/>
    <s v="CAPEX"/>
    <s v="Fixed"/>
    <x v="4"/>
    <n v="30"/>
    <x v="0"/>
    <n v="19"/>
  </r>
  <r>
    <x v="139"/>
    <x v="4"/>
    <x v="6"/>
    <x v="165"/>
    <x v="2"/>
    <x v="423"/>
    <x v="1"/>
    <x v="0"/>
    <x v="0"/>
    <s v="OPEX"/>
    <s v="Retainer"/>
    <x v="3"/>
    <n v="45"/>
    <x v="1"/>
    <n v="18"/>
  </r>
  <r>
    <x v="258"/>
    <x v="10"/>
    <x v="5"/>
    <x v="168"/>
    <x v="0"/>
    <x v="424"/>
    <x v="0"/>
    <x v="0"/>
    <x v="2"/>
    <s v="OPEX"/>
    <s v="Retainer"/>
    <x v="3"/>
    <n v="60"/>
    <x v="0"/>
    <n v="19"/>
  </r>
  <r>
    <x v="206"/>
    <x v="5"/>
    <x v="5"/>
    <x v="145"/>
    <x v="0"/>
    <x v="425"/>
    <x v="1"/>
    <x v="0"/>
    <x v="4"/>
    <s v="OPEX"/>
    <s v="Retainer"/>
    <x v="2"/>
    <n v="30"/>
    <x v="1"/>
    <n v="18"/>
  </r>
  <r>
    <x v="259"/>
    <x v="2"/>
    <x v="3"/>
    <x v="283"/>
    <x v="2"/>
    <x v="426"/>
    <x v="0"/>
    <x v="1"/>
    <x v="1"/>
    <s v="CAPEX"/>
    <s v="Variable"/>
    <x v="1"/>
    <n v="90"/>
    <x v="0"/>
    <n v="18"/>
  </r>
  <r>
    <x v="75"/>
    <x v="4"/>
    <x v="1"/>
    <x v="145"/>
    <x v="1"/>
    <x v="427"/>
    <x v="0"/>
    <x v="0"/>
    <x v="2"/>
    <s v="OPEX"/>
    <s v="Variable"/>
    <x v="2"/>
    <n v="90"/>
    <x v="2"/>
    <n v="4"/>
  </r>
  <r>
    <x v="260"/>
    <x v="2"/>
    <x v="3"/>
    <x v="278"/>
    <x v="2"/>
    <x v="428"/>
    <x v="0"/>
    <x v="1"/>
    <x v="3"/>
    <s v="OPEX"/>
    <s v="Fixed"/>
    <x v="0"/>
    <n v="45"/>
    <x v="0"/>
    <n v="14"/>
  </r>
  <r>
    <x v="261"/>
    <x v="5"/>
    <x v="0"/>
    <x v="236"/>
    <x v="1"/>
    <x v="429"/>
    <x v="0"/>
    <x v="0"/>
    <x v="4"/>
    <s v="OPEX"/>
    <s v="Retainer"/>
    <x v="4"/>
    <n v="30"/>
    <x v="1"/>
    <n v="15"/>
  </r>
  <r>
    <x v="129"/>
    <x v="4"/>
    <x v="4"/>
    <x v="255"/>
    <x v="2"/>
    <x v="430"/>
    <x v="0"/>
    <x v="1"/>
    <x v="0"/>
    <s v="CAPEX"/>
    <s v="Variable"/>
    <x v="2"/>
    <n v="60"/>
    <x v="2"/>
    <n v="11"/>
  </r>
  <r>
    <x v="262"/>
    <x v="2"/>
    <x v="7"/>
    <x v="235"/>
    <x v="2"/>
    <x v="431"/>
    <x v="1"/>
    <x v="1"/>
    <x v="0"/>
    <s v="OPEX"/>
    <s v="Fixed"/>
    <x v="2"/>
    <n v="60"/>
    <x v="0"/>
    <n v="20"/>
  </r>
  <r>
    <x v="140"/>
    <x v="7"/>
    <x v="4"/>
    <x v="284"/>
    <x v="1"/>
    <x v="432"/>
    <x v="0"/>
    <x v="1"/>
    <x v="4"/>
    <s v="CAPEX"/>
    <s v="Retainer"/>
    <x v="2"/>
    <n v="60"/>
    <x v="2"/>
    <n v="15"/>
  </r>
  <r>
    <x v="177"/>
    <x v="5"/>
    <x v="7"/>
    <x v="285"/>
    <x v="0"/>
    <x v="433"/>
    <x v="0"/>
    <x v="1"/>
    <x v="0"/>
    <s v="CAPEX"/>
    <s v="Retainer"/>
    <x v="4"/>
    <n v="90"/>
    <x v="0"/>
    <n v="5"/>
  </r>
  <r>
    <x v="235"/>
    <x v="6"/>
    <x v="3"/>
    <x v="232"/>
    <x v="2"/>
    <x v="434"/>
    <x v="1"/>
    <x v="0"/>
    <x v="0"/>
    <s v="OPEX"/>
    <s v="Variable"/>
    <x v="1"/>
    <n v="90"/>
    <x v="2"/>
    <n v="18"/>
  </r>
  <r>
    <x v="255"/>
    <x v="8"/>
    <x v="4"/>
    <x v="91"/>
    <x v="2"/>
    <x v="435"/>
    <x v="1"/>
    <x v="0"/>
    <x v="4"/>
    <s v="OPEX"/>
    <s v="Retainer"/>
    <x v="1"/>
    <n v="30"/>
    <x v="2"/>
    <n v="8"/>
  </r>
  <r>
    <x v="263"/>
    <x v="0"/>
    <x v="6"/>
    <x v="286"/>
    <x v="2"/>
    <x v="436"/>
    <x v="0"/>
    <x v="1"/>
    <x v="5"/>
    <s v="OPEX"/>
    <s v="Retainer"/>
    <x v="4"/>
    <n v="30"/>
    <x v="0"/>
    <n v="8"/>
  </r>
  <r>
    <x v="255"/>
    <x v="10"/>
    <x v="8"/>
    <x v="69"/>
    <x v="0"/>
    <x v="437"/>
    <x v="0"/>
    <x v="0"/>
    <x v="4"/>
    <s v="CAPEX"/>
    <s v="Fixed"/>
    <x v="1"/>
    <n v="90"/>
    <x v="0"/>
    <n v="9"/>
  </r>
  <r>
    <x v="52"/>
    <x v="10"/>
    <x v="4"/>
    <x v="171"/>
    <x v="0"/>
    <x v="438"/>
    <x v="0"/>
    <x v="0"/>
    <x v="4"/>
    <s v="CAPEX"/>
    <s v="Retainer"/>
    <x v="4"/>
    <n v="45"/>
    <x v="1"/>
    <n v="10"/>
  </r>
  <r>
    <x v="74"/>
    <x v="2"/>
    <x v="5"/>
    <x v="216"/>
    <x v="2"/>
    <x v="439"/>
    <x v="1"/>
    <x v="0"/>
    <x v="0"/>
    <s v="CAPEX"/>
    <s v="Variable"/>
    <x v="2"/>
    <n v="45"/>
    <x v="2"/>
    <n v="18"/>
  </r>
  <r>
    <x v="264"/>
    <x v="3"/>
    <x v="0"/>
    <x v="287"/>
    <x v="2"/>
    <x v="440"/>
    <x v="1"/>
    <x v="1"/>
    <x v="1"/>
    <s v="CAPEX"/>
    <s v="Retainer"/>
    <x v="1"/>
    <n v="60"/>
    <x v="2"/>
    <n v="4"/>
  </r>
  <r>
    <x v="137"/>
    <x v="9"/>
    <x v="0"/>
    <x v="87"/>
    <x v="1"/>
    <x v="441"/>
    <x v="1"/>
    <x v="0"/>
    <x v="0"/>
    <s v="CAPEX"/>
    <s v="Fixed"/>
    <x v="2"/>
    <n v="45"/>
    <x v="2"/>
    <n v="13"/>
  </r>
  <r>
    <x v="265"/>
    <x v="7"/>
    <x v="0"/>
    <x v="278"/>
    <x v="1"/>
    <x v="442"/>
    <x v="1"/>
    <x v="1"/>
    <x v="3"/>
    <s v="CAPEX"/>
    <s v="Variable"/>
    <x v="1"/>
    <n v="90"/>
    <x v="1"/>
    <n v="6"/>
  </r>
  <r>
    <x v="266"/>
    <x v="8"/>
    <x v="8"/>
    <x v="288"/>
    <x v="2"/>
    <x v="443"/>
    <x v="1"/>
    <x v="1"/>
    <x v="0"/>
    <s v="OPEX"/>
    <s v="Fixed"/>
    <x v="2"/>
    <n v="30"/>
    <x v="0"/>
    <n v="10"/>
  </r>
  <r>
    <x v="192"/>
    <x v="5"/>
    <x v="7"/>
    <x v="39"/>
    <x v="1"/>
    <x v="444"/>
    <x v="0"/>
    <x v="0"/>
    <x v="4"/>
    <s v="OPEX"/>
    <s v="Fixed"/>
    <x v="4"/>
    <n v="45"/>
    <x v="1"/>
    <n v="15"/>
  </r>
  <r>
    <x v="184"/>
    <x v="0"/>
    <x v="4"/>
    <x v="32"/>
    <x v="2"/>
    <x v="445"/>
    <x v="1"/>
    <x v="0"/>
    <x v="2"/>
    <s v="CAPEX"/>
    <s v="Fixed"/>
    <x v="2"/>
    <n v="45"/>
    <x v="1"/>
    <n v="4"/>
  </r>
  <r>
    <x v="140"/>
    <x v="10"/>
    <x v="4"/>
    <x v="289"/>
    <x v="1"/>
    <x v="446"/>
    <x v="1"/>
    <x v="0"/>
    <x v="2"/>
    <s v="OPEX"/>
    <s v="Retainer"/>
    <x v="2"/>
    <n v="45"/>
    <x v="1"/>
    <n v="9"/>
  </r>
  <r>
    <x v="138"/>
    <x v="9"/>
    <x v="4"/>
    <x v="217"/>
    <x v="1"/>
    <x v="447"/>
    <x v="0"/>
    <x v="0"/>
    <x v="0"/>
    <s v="OPEX"/>
    <s v="Fixed"/>
    <x v="0"/>
    <n v="90"/>
    <x v="2"/>
    <n v="14"/>
  </r>
  <r>
    <x v="84"/>
    <x v="1"/>
    <x v="6"/>
    <x v="57"/>
    <x v="0"/>
    <x v="448"/>
    <x v="0"/>
    <x v="1"/>
    <x v="5"/>
    <s v="CAPEX"/>
    <s v="Variable"/>
    <x v="0"/>
    <n v="90"/>
    <x v="0"/>
    <n v="12"/>
  </r>
  <r>
    <x v="267"/>
    <x v="4"/>
    <x v="6"/>
    <x v="201"/>
    <x v="2"/>
    <x v="449"/>
    <x v="1"/>
    <x v="1"/>
    <x v="2"/>
    <s v="OPEX"/>
    <s v="Variable"/>
    <x v="2"/>
    <n v="45"/>
    <x v="1"/>
    <n v="3"/>
  </r>
  <r>
    <x v="268"/>
    <x v="9"/>
    <x v="2"/>
    <x v="290"/>
    <x v="1"/>
    <x v="450"/>
    <x v="1"/>
    <x v="0"/>
    <x v="2"/>
    <s v="OPEX"/>
    <s v="Retainer"/>
    <x v="3"/>
    <n v="45"/>
    <x v="0"/>
    <n v="10"/>
  </r>
  <r>
    <x v="35"/>
    <x v="7"/>
    <x v="3"/>
    <x v="291"/>
    <x v="2"/>
    <x v="451"/>
    <x v="1"/>
    <x v="1"/>
    <x v="3"/>
    <s v="CAPEX"/>
    <s v="Variable"/>
    <x v="4"/>
    <n v="30"/>
    <x v="0"/>
    <n v="7"/>
  </r>
  <r>
    <x v="269"/>
    <x v="4"/>
    <x v="7"/>
    <x v="136"/>
    <x v="2"/>
    <x v="452"/>
    <x v="1"/>
    <x v="1"/>
    <x v="3"/>
    <s v="CAPEX"/>
    <s v="Variable"/>
    <x v="2"/>
    <n v="30"/>
    <x v="0"/>
    <n v="17"/>
  </r>
  <r>
    <x v="164"/>
    <x v="7"/>
    <x v="4"/>
    <x v="292"/>
    <x v="2"/>
    <x v="453"/>
    <x v="0"/>
    <x v="1"/>
    <x v="1"/>
    <s v="CAPEX"/>
    <s v="Retainer"/>
    <x v="1"/>
    <n v="90"/>
    <x v="2"/>
    <n v="7"/>
  </r>
  <r>
    <x v="7"/>
    <x v="8"/>
    <x v="4"/>
    <x v="174"/>
    <x v="0"/>
    <x v="454"/>
    <x v="0"/>
    <x v="0"/>
    <x v="5"/>
    <s v="OPEX"/>
    <s v="Retainer"/>
    <x v="2"/>
    <n v="60"/>
    <x v="1"/>
    <n v="20"/>
  </r>
  <r>
    <x v="158"/>
    <x v="4"/>
    <x v="4"/>
    <x v="194"/>
    <x v="2"/>
    <x v="455"/>
    <x v="1"/>
    <x v="0"/>
    <x v="3"/>
    <s v="OPEX"/>
    <s v="Fixed"/>
    <x v="4"/>
    <n v="30"/>
    <x v="0"/>
    <n v="15"/>
  </r>
  <r>
    <x v="134"/>
    <x v="2"/>
    <x v="6"/>
    <x v="229"/>
    <x v="0"/>
    <x v="456"/>
    <x v="1"/>
    <x v="0"/>
    <x v="4"/>
    <s v="OPEX"/>
    <s v="Fixed"/>
    <x v="2"/>
    <n v="45"/>
    <x v="2"/>
    <n v="8"/>
  </r>
  <r>
    <x v="74"/>
    <x v="0"/>
    <x v="7"/>
    <x v="37"/>
    <x v="1"/>
    <x v="457"/>
    <x v="1"/>
    <x v="0"/>
    <x v="0"/>
    <s v="OPEX"/>
    <s v="Retainer"/>
    <x v="0"/>
    <n v="45"/>
    <x v="2"/>
    <n v="18"/>
  </r>
  <r>
    <x v="229"/>
    <x v="6"/>
    <x v="9"/>
    <x v="293"/>
    <x v="2"/>
    <x v="458"/>
    <x v="0"/>
    <x v="1"/>
    <x v="4"/>
    <s v="OPEX"/>
    <s v="Variable"/>
    <x v="4"/>
    <n v="45"/>
    <x v="0"/>
    <n v="6"/>
  </r>
  <r>
    <x v="127"/>
    <x v="3"/>
    <x v="9"/>
    <x v="198"/>
    <x v="1"/>
    <x v="459"/>
    <x v="0"/>
    <x v="1"/>
    <x v="2"/>
    <s v="CAPEX"/>
    <s v="Variable"/>
    <x v="1"/>
    <n v="45"/>
    <x v="2"/>
    <n v="5"/>
  </r>
  <r>
    <x v="270"/>
    <x v="9"/>
    <x v="3"/>
    <x v="193"/>
    <x v="1"/>
    <x v="460"/>
    <x v="1"/>
    <x v="1"/>
    <x v="0"/>
    <s v="OPEX"/>
    <s v="Retainer"/>
    <x v="3"/>
    <n v="90"/>
    <x v="0"/>
    <n v="19"/>
  </r>
  <r>
    <x v="12"/>
    <x v="11"/>
    <x v="9"/>
    <x v="261"/>
    <x v="2"/>
    <x v="461"/>
    <x v="1"/>
    <x v="0"/>
    <x v="0"/>
    <s v="OPEX"/>
    <s v="Retainer"/>
    <x v="2"/>
    <n v="60"/>
    <x v="2"/>
    <n v="6"/>
  </r>
  <r>
    <x v="126"/>
    <x v="0"/>
    <x v="3"/>
    <x v="125"/>
    <x v="1"/>
    <x v="462"/>
    <x v="0"/>
    <x v="1"/>
    <x v="2"/>
    <s v="OPEX"/>
    <s v="Variable"/>
    <x v="2"/>
    <n v="90"/>
    <x v="0"/>
    <n v="13"/>
  </r>
  <r>
    <x v="32"/>
    <x v="10"/>
    <x v="6"/>
    <x v="50"/>
    <x v="2"/>
    <x v="463"/>
    <x v="1"/>
    <x v="1"/>
    <x v="3"/>
    <s v="OPEX"/>
    <s v="Fixed"/>
    <x v="4"/>
    <n v="60"/>
    <x v="1"/>
    <n v="5"/>
  </r>
  <r>
    <x v="271"/>
    <x v="2"/>
    <x v="2"/>
    <x v="294"/>
    <x v="1"/>
    <x v="464"/>
    <x v="1"/>
    <x v="1"/>
    <x v="0"/>
    <s v="OPEX"/>
    <s v="Variable"/>
    <x v="0"/>
    <n v="60"/>
    <x v="0"/>
    <n v="16"/>
  </r>
  <r>
    <x v="224"/>
    <x v="8"/>
    <x v="2"/>
    <x v="183"/>
    <x v="1"/>
    <x v="465"/>
    <x v="1"/>
    <x v="0"/>
    <x v="0"/>
    <s v="OPEX"/>
    <s v="Variable"/>
    <x v="2"/>
    <n v="45"/>
    <x v="1"/>
    <n v="5"/>
  </r>
  <r>
    <x v="272"/>
    <x v="10"/>
    <x v="4"/>
    <x v="67"/>
    <x v="1"/>
    <x v="466"/>
    <x v="1"/>
    <x v="1"/>
    <x v="3"/>
    <s v="CAPEX"/>
    <s v="Variable"/>
    <x v="0"/>
    <n v="60"/>
    <x v="1"/>
    <n v="10"/>
  </r>
  <r>
    <x v="136"/>
    <x v="1"/>
    <x v="0"/>
    <x v="295"/>
    <x v="1"/>
    <x v="467"/>
    <x v="1"/>
    <x v="1"/>
    <x v="1"/>
    <s v="CAPEX"/>
    <s v="Fixed"/>
    <x v="0"/>
    <n v="45"/>
    <x v="1"/>
    <n v="18"/>
  </r>
  <r>
    <x v="242"/>
    <x v="5"/>
    <x v="3"/>
    <x v="296"/>
    <x v="2"/>
    <x v="468"/>
    <x v="0"/>
    <x v="0"/>
    <x v="1"/>
    <s v="CAPEX"/>
    <s v="Variable"/>
    <x v="1"/>
    <n v="45"/>
    <x v="2"/>
    <n v="10"/>
  </r>
  <r>
    <x v="71"/>
    <x v="9"/>
    <x v="5"/>
    <x v="148"/>
    <x v="1"/>
    <x v="469"/>
    <x v="1"/>
    <x v="1"/>
    <x v="4"/>
    <s v="OPEX"/>
    <s v="Variable"/>
    <x v="1"/>
    <n v="90"/>
    <x v="0"/>
    <n v="19"/>
  </r>
  <r>
    <x v="158"/>
    <x v="6"/>
    <x v="4"/>
    <x v="171"/>
    <x v="1"/>
    <x v="470"/>
    <x v="1"/>
    <x v="0"/>
    <x v="0"/>
    <s v="OPEX"/>
    <s v="Retainer"/>
    <x v="1"/>
    <n v="60"/>
    <x v="1"/>
    <n v="8"/>
  </r>
  <r>
    <x v="273"/>
    <x v="7"/>
    <x v="4"/>
    <x v="297"/>
    <x v="1"/>
    <x v="471"/>
    <x v="0"/>
    <x v="1"/>
    <x v="0"/>
    <s v="CAPEX"/>
    <s v="Retainer"/>
    <x v="1"/>
    <n v="45"/>
    <x v="2"/>
    <n v="4"/>
  </r>
  <r>
    <x v="94"/>
    <x v="6"/>
    <x v="2"/>
    <x v="281"/>
    <x v="0"/>
    <x v="472"/>
    <x v="0"/>
    <x v="1"/>
    <x v="2"/>
    <s v="CAPEX"/>
    <s v="Retainer"/>
    <x v="1"/>
    <n v="60"/>
    <x v="2"/>
    <n v="10"/>
  </r>
  <r>
    <x v="110"/>
    <x v="10"/>
    <x v="5"/>
    <x v="46"/>
    <x v="1"/>
    <x v="473"/>
    <x v="0"/>
    <x v="0"/>
    <x v="1"/>
    <s v="CAPEX"/>
    <s v="Variable"/>
    <x v="0"/>
    <n v="90"/>
    <x v="1"/>
    <n v="10"/>
  </r>
  <r>
    <x v="235"/>
    <x v="4"/>
    <x v="2"/>
    <x v="298"/>
    <x v="0"/>
    <x v="474"/>
    <x v="0"/>
    <x v="0"/>
    <x v="0"/>
    <s v="CAPEX"/>
    <s v="Retainer"/>
    <x v="1"/>
    <n v="30"/>
    <x v="1"/>
    <n v="5"/>
  </r>
  <r>
    <x v="61"/>
    <x v="9"/>
    <x v="7"/>
    <x v="299"/>
    <x v="1"/>
    <x v="475"/>
    <x v="1"/>
    <x v="0"/>
    <x v="0"/>
    <s v="OPEX"/>
    <s v="Retainer"/>
    <x v="3"/>
    <n v="60"/>
    <x v="1"/>
    <n v="12"/>
  </r>
  <r>
    <x v="70"/>
    <x v="10"/>
    <x v="2"/>
    <x v="183"/>
    <x v="2"/>
    <x v="476"/>
    <x v="0"/>
    <x v="1"/>
    <x v="3"/>
    <s v="CAPEX"/>
    <s v="Retainer"/>
    <x v="1"/>
    <n v="30"/>
    <x v="1"/>
    <n v="9"/>
  </r>
  <r>
    <x v="249"/>
    <x v="10"/>
    <x v="1"/>
    <x v="300"/>
    <x v="1"/>
    <x v="477"/>
    <x v="1"/>
    <x v="1"/>
    <x v="1"/>
    <s v="CAPEX"/>
    <s v="Fixed"/>
    <x v="3"/>
    <n v="90"/>
    <x v="0"/>
    <n v="16"/>
  </r>
  <r>
    <x v="61"/>
    <x v="3"/>
    <x v="9"/>
    <x v="115"/>
    <x v="0"/>
    <x v="478"/>
    <x v="0"/>
    <x v="0"/>
    <x v="4"/>
    <s v="CAPEX"/>
    <s v="Retainer"/>
    <x v="1"/>
    <n v="30"/>
    <x v="2"/>
    <n v="5"/>
  </r>
  <r>
    <x v="77"/>
    <x v="10"/>
    <x v="7"/>
    <x v="283"/>
    <x v="0"/>
    <x v="479"/>
    <x v="0"/>
    <x v="1"/>
    <x v="0"/>
    <s v="CAPEX"/>
    <s v="Fixed"/>
    <x v="0"/>
    <n v="60"/>
    <x v="2"/>
    <n v="10"/>
  </r>
  <r>
    <x v="80"/>
    <x v="4"/>
    <x v="1"/>
    <x v="187"/>
    <x v="1"/>
    <x v="480"/>
    <x v="0"/>
    <x v="1"/>
    <x v="2"/>
    <s v="OPEX"/>
    <s v="Retainer"/>
    <x v="1"/>
    <n v="60"/>
    <x v="1"/>
    <n v="17"/>
  </r>
  <r>
    <x v="274"/>
    <x v="6"/>
    <x v="6"/>
    <x v="301"/>
    <x v="1"/>
    <x v="481"/>
    <x v="1"/>
    <x v="0"/>
    <x v="0"/>
    <s v="CAPEX"/>
    <s v="Variable"/>
    <x v="0"/>
    <n v="45"/>
    <x v="0"/>
    <n v="12"/>
  </r>
  <r>
    <x v="275"/>
    <x v="9"/>
    <x v="9"/>
    <x v="302"/>
    <x v="1"/>
    <x v="482"/>
    <x v="1"/>
    <x v="1"/>
    <x v="2"/>
    <s v="CAPEX"/>
    <s v="Retainer"/>
    <x v="0"/>
    <n v="30"/>
    <x v="2"/>
    <n v="3"/>
  </r>
  <r>
    <x v="200"/>
    <x v="1"/>
    <x v="3"/>
    <x v="270"/>
    <x v="1"/>
    <x v="483"/>
    <x v="1"/>
    <x v="1"/>
    <x v="4"/>
    <s v="CAPEX"/>
    <s v="Retainer"/>
    <x v="3"/>
    <n v="45"/>
    <x v="2"/>
    <n v="20"/>
  </r>
  <r>
    <x v="41"/>
    <x v="5"/>
    <x v="0"/>
    <x v="303"/>
    <x v="2"/>
    <x v="484"/>
    <x v="1"/>
    <x v="0"/>
    <x v="3"/>
    <s v="CAPEX"/>
    <s v="Retainer"/>
    <x v="1"/>
    <n v="60"/>
    <x v="2"/>
    <n v="18"/>
  </r>
  <r>
    <x v="147"/>
    <x v="2"/>
    <x v="2"/>
    <x v="275"/>
    <x v="1"/>
    <x v="485"/>
    <x v="1"/>
    <x v="1"/>
    <x v="3"/>
    <s v="OPEX"/>
    <s v="Variable"/>
    <x v="1"/>
    <n v="45"/>
    <x v="2"/>
    <n v="18"/>
  </r>
  <r>
    <x v="276"/>
    <x v="3"/>
    <x v="0"/>
    <x v="165"/>
    <x v="2"/>
    <x v="486"/>
    <x v="0"/>
    <x v="1"/>
    <x v="5"/>
    <s v="CAPEX"/>
    <s v="Retainer"/>
    <x v="2"/>
    <n v="90"/>
    <x v="0"/>
    <n v="4"/>
  </r>
  <r>
    <x v="149"/>
    <x v="6"/>
    <x v="4"/>
    <x v="78"/>
    <x v="1"/>
    <x v="487"/>
    <x v="0"/>
    <x v="0"/>
    <x v="1"/>
    <s v="OPEX"/>
    <s v="Variable"/>
    <x v="0"/>
    <n v="45"/>
    <x v="2"/>
    <n v="5"/>
  </r>
  <r>
    <x v="29"/>
    <x v="9"/>
    <x v="9"/>
    <x v="304"/>
    <x v="1"/>
    <x v="488"/>
    <x v="0"/>
    <x v="0"/>
    <x v="5"/>
    <s v="CAPEX"/>
    <s v="Variable"/>
    <x v="1"/>
    <n v="60"/>
    <x v="0"/>
    <n v="17"/>
  </r>
  <r>
    <x v="115"/>
    <x v="5"/>
    <x v="2"/>
    <x v="214"/>
    <x v="1"/>
    <x v="489"/>
    <x v="1"/>
    <x v="1"/>
    <x v="3"/>
    <s v="CAPEX"/>
    <s v="Fixed"/>
    <x v="1"/>
    <n v="90"/>
    <x v="0"/>
    <n v="18"/>
  </r>
  <r>
    <x v="27"/>
    <x v="7"/>
    <x v="3"/>
    <x v="305"/>
    <x v="2"/>
    <x v="490"/>
    <x v="1"/>
    <x v="1"/>
    <x v="5"/>
    <s v="CAPEX"/>
    <s v="Variable"/>
    <x v="1"/>
    <n v="30"/>
    <x v="2"/>
    <n v="12"/>
  </r>
  <r>
    <x v="277"/>
    <x v="5"/>
    <x v="9"/>
    <x v="306"/>
    <x v="0"/>
    <x v="491"/>
    <x v="1"/>
    <x v="1"/>
    <x v="5"/>
    <s v="OPEX"/>
    <s v="Variable"/>
    <x v="1"/>
    <n v="60"/>
    <x v="0"/>
    <n v="14"/>
  </r>
  <r>
    <x v="117"/>
    <x v="7"/>
    <x v="1"/>
    <x v="168"/>
    <x v="1"/>
    <x v="492"/>
    <x v="1"/>
    <x v="0"/>
    <x v="0"/>
    <s v="OPEX"/>
    <s v="Variable"/>
    <x v="1"/>
    <n v="90"/>
    <x v="1"/>
    <n v="14"/>
  </r>
  <r>
    <x v="102"/>
    <x v="10"/>
    <x v="2"/>
    <x v="307"/>
    <x v="2"/>
    <x v="493"/>
    <x v="0"/>
    <x v="1"/>
    <x v="0"/>
    <s v="CAPEX"/>
    <s v="Fixed"/>
    <x v="1"/>
    <n v="30"/>
    <x v="0"/>
    <n v="18"/>
  </r>
  <r>
    <x v="91"/>
    <x v="8"/>
    <x v="3"/>
    <x v="308"/>
    <x v="2"/>
    <x v="494"/>
    <x v="1"/>
    <x v="1"/>
    <x v="1"/>
    <s v="OPEX"/>
    <s v="Retainer"/>
    <x v="3"/>
    <n v="60"/>
    <x v="2"/>
    <n v="4"/>
  </r>
  <r>
    <x v="85"/>
    <x v="3"/>
    <x v="0"/>
    <x v="90"/>
    <x v="0"/>
    <x v="495"/>
    <x v="0"/>
    <x v="1"/>
    <x v="3"/>
    <s v="OPEX"/>
    <s v="Retainer"/>
    <x v="0"/>
    <n v="45"/>
    <x v="0"/>
    <n v="19"/>
  </r>
  <r>
    <x v="132"/>
    <x v="8"/>
    <x v="4"/>
    <x v="181"/>
    <x v="2"/>
    <x v="496"/>
    <x v="1"/>
    <x v="1"/>
    <x v="4"/>
    <s v="OPEX"/>
    <s v="Variable"/>
    <x v="0"/>
    <n v="90"/>
    <x v="0"/>
    <n v="7"/>
  </r>
  <r>
    <x v="278"/>
    <x v="11"/>
    <x v="6"/>
    <x v="309"/>
    <x v="2"/>
    <x v="497"/>
    <x v="1"/>
    <x v="0"/>
    <x v="2"/>
    <s v="OPEX"/>
    <s v="Retainer"/>
    <x v="2"/>
    <n v="45"/>
    <x v="2"/>
    <n v="4"/>
  </r>
  <r>
    <x v="113"/>
    <x v="2"/>
    <x v="4"/>
    <x v="307"/>
    <x v="1"/>
    <x v="498"/>
    <x v="0"/>
    <x v="1"/>
    <x v="2"/>
    <s v="CAPEX"/>
    <s v="Fixed"/>
    <x v="1"/>
    <n v="45"/>
    <x v="0"/>
    <n v="19"/>
  </r>
  <r>
    <x v="279"/>
    <x v="9"/>
    <x v="2"/>
    <x v="1"/>
    <x v="1"/>
    <x v="499"/>
    <x v="1"/>
    <x v="0"/>
    <x v="0"/>
    <s v="CAPEX"/>
    <s v="Retainer"/>
    <x v="1"/>
    <n v="30"/>
    <x v="2"/>
    <n v="17"/>
  </r>
  <r>
    <x v="172"/>
    <x v="4"/>
    <x v="5"/>
    <x v="310"/>
    <x v="1"/>
    <x v="500"/>
    <x v="1"/>
    <x v="1"/>
    <x v="5"/>
    <s v="CAPEX"/>
    <s v="Variable"/>
    <x v="1"/>
    <n v="45"/>
    <x v="0"/>
    <n v="17"/>
  </r>
  <r>
    <x v="195"/>
    <x v="11"/>
    <x v="9"/>
    <x v="253"/>
    <x v="2"/>
    <x v="501"/>
    <x v="0"/>
    <x v="1"/>
    <x v="2"/>
    <s v="OPEX"/>
    <s v="Variable"/>
    <x v="3"/>
    <n v="60"/>
    <x v="1"/>
    <n v="19"/>
  </r>
  <r>
    <x v="280"/>
    <x v="10"/>
    <x v="7"/>
    <x v="194"/>
    <x v="2"/>
    <x v="502"/>
    <x v="1"/>
    <x v="0"/>
    <x v="1"/>
    <s v="OPEX"/>
    <s v="Retainer"/>
    <x v="2"/>
    <n v="60"/>
    <x v="1"/>
    <n v="14"/>
  </r>
  <r>
    <x v="281"/>
    <x v="3"/>
    <x v="0"/>
    <x v="311"/>
    <x v="1"/>
    <x v="503"/>
    <x v="1"/>
    <x v="0"/>
    <x v="5"/>
    <s v="CAPEX"/>
    <s v="Fixed"/>
    <x v="2"/>
    <n v="90"/>
    <x v="2"/>
    <n v="4"/>
  </r>
  <r>
    <x v="72"/>
    <x v="2"/>
    <x v="0"/>
    <x v="312"/>
    <x v="2"/>
    <x v="504"/>
    <x v="0"/>
    <x v="0"/>
    <x v="2"/>
    <s v="OPEX"/>
    <s v="Variable"/>
    <x v="3"/>
    <n v="30"/>
    <x v="2"/>
    <n v="6"/>
  </r>
  <r>
    <x v="17"/>
    <x v="7"/>
    <x v="2"/>
    <x v="197"/>
    <x v="2"/>
    <x v="505"/>
    <x v="1"/>
    <x v="0"/>
    <x v="4"/>
    <s v="CAPEX"/>
    <s v="Fixed"/>
    <x v="3"/>
    <n v="45"/>
    <x v="1"/>
    <n v="16"/>
  </r>
  <r>
    <x v="214"/>
    <x v="5"/>
    <x v="6"/>
    <x v="176"/>
    <x v="1"/>
    <x v="506"/>
    <x v="0"/>
    <x v="0"/>
    <x v="2"/>
    <s v="OPEX"/>
    <s v="Variable"/>
    <x v="1"/>
    <n v="60"/>
    <x v="0"/>
    <n v="9"/>
  </r>
  <r>
    <x v="282"/>
    <x v="9"/>
    <x v="1"/>
    <x v="301"/>
    <x v="2"/>
    <x v="507"/>
    <x v="1"/>
    <x v="0"/>
    <x v="5"/>
    <s v="CAPEX"/>
    <s v="Fixed"/>
    <x v="2"/>
    <n v="90"/>
    <x v="2"/>
    <n v="8"/>
  </r>
  <r>
    <x v="283"/>
    <x v="3"/>
    <x v="1"/>
    <x v="117"/>
    <x v="0"/>
    <x v="508"/>
    <x v="1"/>
    <x v="0"/>
    <x v="4"/>
    <s v="OPEX"/>
    <s v="Fixed"/>
    <x v="1"/>
    <n v="60"/>
    <x v="0"/>
    <n v="7"/>
  </r>
  <r>
    <x v="69"/>
    <x v="3"/>
    <x v="8"/>
    <x v="313"/>
    <x v="0"/>
    <x v="509"/>
    <x v="1"/>
    <x v="0"/>
    <x v="3"/>
    <s v="OPEX"/>
    <s v="Variable"/>
    <x v="1"/>
    <n v="30"/>
    <x v="0"/>
    <n v="14"/>
  </r>
  <r>
    <x v="13"/>
    <x v="2"/>
    <x v="5"/>
    <x v="314"/>
    <x v="1"/>
    <x v="510"/>
    <x v="1"/>
    <x v="1"/>
    <x v="1"/>
    <s v="CAPEX"/>
    <s v="Variable"/>
    <x v="0"/>
    <n v="45"/>
    <x v="1"/>
    <n v="11"/>
  </r>
  <r>
    <x v="55"/>
    <x v="1"/>
    <x v="3"/>
    <x v="273"/>
    <x v="1"/>
    <x v="511"/>
    <x v="0"/>
    <x v="1"/>
    <x v="2"/>
    <s v="OPEX"/>
    <s v="Variable"/>
    <x v="1"/>
    <n v="30"/>
    <x v="1"/>
    <n v="15"/>
  </r>
  <r>
    <x v="24"/>
    <x v="8"/>
    <x v="0"/>
    <x v="315"/>
    <x v="2"/>
    <x v="512"/>
    <x v="0"/>
    <x v="1"/>
    <x v="1"/>
    <s v="CAPEX"/>
    <s v="Retainer"/>
    <x v="1"/>
    <n v="90"/>
    <x v="1"/>
    <n v="10"/>
  </r>
  <r>
    <x v="196"/>
    <x v="8"/>
    <x v="1"/>
    <x v="316"/>
    <x v="1"/>
    <x v="513"/>
    <x v="0"/>
    <x v="0"/>
    <x v="2"/>
    <s v="OPEX"/>
    <s v="Variable"/>
    <x v="3"/>
    <n v="45"/>
    <x v="0"/>
    <n v="15"/>
  </r>
  <r>
    <x v="169"/>
    <x v="8"/>
    <x v="6"/>
    <x v="159"/>
    <x v="1"/>
    <x v="514"/>
    <x v="1"/>
    <x v="1"/>
    <x v="0"/>
    <s v="CAPEX"/>
    <s v="Variable"/>
    <x v="1"/>
    <n v="30"/>
    <x v="2"/>
    <n v="15"/>
  </r>
  <r>
    <x v="77"/>
    <x v="9"/>
    <x v="7"/>
    <x v="317"/>
    <x v="2"/>
    <x v="515"/>
    <x v="1"/>
    <x v="1"/>
    <x v="3"/>
    <s v="CAPEX"/>
    <s v="Fixed"/>
    <x v="1"/>
    <n v="30"/>
    <x v="0"/>
    <n v="6"/>
  </r>
  <r>
    <x v="80"/>
    <x v="3"/>
    <x v="9"/>
    <x v="123"/>
    <x v="2"/>
    <x v="516"/>
    <x v="0"/>
    <x v="1"/>
    <x v="5"/>
    <s v="OPEX"/>
    <s v="Fixed"/>
    <x v="2"/>
    <n v="90"/>
    <x v="2"/>
    <n v="16"/>
  </r>
  <r>
    <x v="177"/>
    <x v="1"/>
    <x v="6"/>
    <x v="220"/>
    <x v="2"/>
    <x v="517"/>
    <x v="0"/>
    <x v="1"/>
    <x v="4"/>
    <s v="CAPEX"/>
    <s v="Variable"/>
    <x v="3"/>
    <n v="45"/>
    <x v="2"/>
    <n v="11"/>
  </r>
  <r>
    <x v="255"/>
    <x v="3"/>
    <x v="9"/>
    <x v="65"/>
    <x v="1"/>
    <x v="518"/>
    <x v="0"/>
    <x v="1"/>
    <x v="4"/>
    <s v="CAPEX"/>
    <s v="Retainer"/>
    <x v="3"/>
    <n v="30"/>
    <x v="2"/>
    <n v="10"/>
  </r>
  <r>
    <x v="94"/>
    <x v="1"/>
    <x v="9"/>
    <x v="318"/>
    <x v="1"/>
    <x v="519"/>
    <x v="1"/>
    <x v="0"/>
    <x v="2"/>
    <s v="OPEX"/>
    <s v="Variable"/>
    <x v="1"/>
    <n v="60"/>
    <x v="0"/>
    <n v="11"/>
  </r>
  <r>
    <x v="209"/>
    <x v="11"/>
    <x v="8"/>
    <x v="319"/>
    <x v="0"/>
    <x v="520"/>
    <x v="1"/>
    <x v="1"/>
    <x v="5"/>
    <s v="CAPEX"/>
    <s v="Fixed"/>
    <x v="2"/>
    <n v="90"/>
    <x v="2"/>
    <n v="7"/>
  </r>
  <r>
    <x v="174"/>
    <x v="6"/>
    <x v="8"/>
    <x v="148"/>
    <x v="0"/>
    <x v="521"/>
    <x v="1"/>
    <x v="1"/>
    <x v="1"/>
    <s v="CAPEX"/>
    <s v="Fixed"/>
    <x v="0"/>
    <n v="90"/>
    <x v="1"/>
    <n v="14"/>
  </r>
  <r>
    <x v="56"/>
    <x v="2"/>
    <x v="8"/>
    <x v="320"/>
    <x v="2"/>
    <x v="522"/>
    <x v="1"/>
    <x v="1"/>
    <x v="0"/>
    <s v="CAPEX"/>
    <s v="Retainer"/>
    <x v="1"/>
    <n v="30"/>
    <x v="1"/>
    <n v="14"/>
  </r>
  <r>
    <x v="194"/>
    <x v="9"/>
    <x v="0"/>
    <x v="203"/>
    <x v="0"/>
    <x v="523"/>
    <x v="1"/>
    <x v="1"/>
    <x v="4"/>
    <s v="CAPEX"/>
    <s v="Variable"/>
    <x v="3"/>
    <n v="30"/>
    <x v="0"/>
    <n v="3"/>
  </r>
  <r>
    <x v="174"/>
    <x v="10"/>
    <x v="3"/>
    <x v="36"/>
    <x v="0"/>
    <x v="524"/>
    <x v="0"/>
    <x v="0"/>
    <x v="4"/>
    <s v="CAPEX"/>
    <s v="Retainer"/>
    <x v="4"/>
    <n v="60"/>
    <x v="2"/>
    <n v="15"/>
  </r>
  <r>
    <x v="284"/>
    <x v="6"/>
    <x v="1"/>
    <x v="0"/>
    <x v="0"/>
    <x v="525"/>
    <x v="0"/>
    <x v="0"/>
    <x v="5"/>
    <s v="OPEX"/>
    <s v="Fixed"/>
    <x v="3"/>
    <n v="45"/>
    <x v="2"/>
    <n v="3"/>
  </r>
  <r>
    <x v="180"/>
    <x v="4"/>
    <x v="5"/>
    <x v="57"/>
    <x v="1"/>
    <x v="526"/>
    <x v="1"/>
    <x v="0"/>
    <x v="3"/>
    <s v="OPEX"/>
    <s v="Retainer"/>
    <x v="0"/>
    <n v="90"/>
    <x v="1"/>
    <n v="10"/>
  </r>
  <r>
    <x v="115"/>
    <x v="8"/>
    <x v="1"/>
    <x v="256"/>
    <x v="1"/>
    <x v="527"/>
    <x v="0"/>
    <x v="0"/>
    <x v="0"/>
    <s v="CAPEX"/>
    <s v="Retainer"/>
    <x v="2"/>
    <n v="45"/>
    <x v="1"/>
    <n v="6"/>
  </r>
  <r>
    <x v="109"/>
    <x v="9"/>
    <x v="5"/>
    <x v="321"/>
    <x v="0"/>
    <x v="528"/>
    <x v="1"/>
    <x v="0"/>
    <x v="5"/>
    <s v="OPEX"/>
    <s v="Retainer"/>
    <x v="1"/>
    <n v="60"/>
    <x v="2"/>
    <n v="13"/>
  </r>
  <r>
    <x v="97"/>
    <x v="11"/>
    <x v="4"/>
    <x v="100"/>
    <x v="0"/>
    <x v="529"/>
    <x v="0"/>
    <x v="1"/>
    <x v="5"/>
    <s v="OPEX"/>
    <s v="Retainer"/>
    <x v="2"/>
    <n v="90"/>
    <x v="1"/>
    <n v="17"/>
  </r>
  <r>
    <x v="42"/>
    <x v="10"/>
    <x v="3"/>
    <x v="252"/>
    <x v="0"/>
    <x v="530"/>
    <x v="0"/>
    <x v="0"/>
    <x v="5"/>
    <s v="CAPEX"/>
    <s v="Retainer"/>
    <x v="3"/>
    <n v="45"/>
    <x v="2"/>
    <n v="13"/>
  </r>
  <r>
    <x v="190"/>
    <x v="0"/>
    <x v="4"/>
    <x v="21"/>
    <x v="2"/>
    <x v="531"/>
    <x v="1"/>
    <x v="1"/>
    <x v="3"/>
    <s v="OPEX"/>
    <s v="Variable"/>
    <x v="0"/>
    <n v="90"/>
    <x v="0"/>
    <n v="20"/>
  </r>
  <r>
    <x v="285"/>
    <x v="6"/>
    <x v="0"/>
    <x v="98"/>
    <x v="1"/>
    <x v="532"/>
    <x v="1"/>
    <x v="0"/>
    <x v="1"/>
    <s v="OPEX"/>
    <s v="Variable"/>
    <x v="4"/>
    <n v="45"/>
    <x v="0"/>
    <n v="18"/>
  </r>
  <r>
    <x v="219"/>
    <x v="8"/>
    <x v="8"/>
    <x v="322"/>
    <x v="1"/>
    <x v="533"/>
    <x v="1"/>
    <x v="1"/>
    <x v="4"/>
    <s v="OPEX"/>
    <s v="Retainer"/>
    <x v="2"/>
    <n v="60"/>
    <x v="2"/>
    <n v="17"/>
  </r>
  <r>
    <x v="286"/>
    <x v="2"/>
    <x v="5"/>
    <x v="11"/>
    <x v="0"/>
    <x v="534"/>
    <x v="0"/>
    <x v="1"/>
    <x v="0"/>
    <s v="CAPEX"/>
    <s v="Variable"/>
    <x v="4"/>
    <n v="60"/>
    <x v="0"/>
    <n v="11"/>
  </r>
  <r>
    <x v="53"/>
    <x v="11"/>
    <x v="5"/>
    <x v="48"/>
    <x v="2"/>
    <x v="535"/>
    <x v="0"/>
    <x v="0"/>
    <x v="1"/>
    <s v="OPEX"/>
    <s v="Fixed"/>
    <x v="2"/>
    <n v="30"/>
    <x v="1"/>
    <n v="11"/>
  </r>
  <r>
    <x v="287"/>
    <x v="1"/>
    <x v="7"/>
    <x v="12"/>
    <x v="1"/>
    <x v="536"/>
    <x v="0"/>
    <x v="0"/>
    <x v="0"/>
    <s v="OPEX"/>
    <s v="Variable"/>
    <x v="1"/>
    <n v="45"/>
    <x v="0"/>
    <n v="15"/>
  </r>
  <r>
    <x v="112"/>
    <x v="6"/>
    <x v="4"/>
    <x v="323"/>
    <x v="1"/>
    <x v="537"/>
    <x v="0"/>
    <x v="0"/>
    <x v="5"/>
    <s v="CAPEX"/>
    <s v="Variable"/>
    <x v="2"/>
    <n v="90"/>
    <x v="0"/>
    <n v="13"/>
  </r>
  <r>
    <x v="244"/>
    <x v="7"/>
    <x v="5"/>
    <x v="127"/>
    <x v="2"/>
    <x v="538"/>
    <x v="0"/>
    <x v="1"/>
    <x v="4"/>
    <s v="OPEX"/>
    <s v="Fixed"/>
    <x v="1"/>
    <n v="60"/>
    <x v="1"/>
    <n v="12"/>
  </r>
  <r>
    <x v="107"/>
    <x v="5"/>
    <x v="7"/>
    <x v="324"/>
    <x v="0"/>
    <x v="539"/>
    <x v="0"/>
    <x v="0"/>
    <x v="0"/>
    <s v="OPEX"/>
    <s v="Variable"/>
    <x v="0"/>
    <n v="30"/>
    <x v="0"/>
    <n v="18"/>
  </r>
  <r>
    <x v="288"/>
    <x v="10"/>
    <x v="3"/>
    <x v="290"/>
    <x v="2"/>
    <x v="540"/>
    <x v="1"/>
    <x v="0"/>
    <x v="2"/>
    <s v="OPEX"/>
    <s v="Fixed"/>
    <x v="0"/>
    <n v="30"/>
    <x v="1"/>
    <n v="18"/>
  </r>
  <r>
    <x v="68"/>
    <x v="5"/>
    <x v="6"/>
    <x v="325"/>
    <x v="1"/>
    <x v="541"/>
    <x v="0"/>
    <x v="0"/>
    <x v="0"/>
    <s v="OPEX"/>
    <s v="Fixed"/>
    <x v="1"/>
    <n v="30"/>
    <x v="0"/>
    <n v="14"/>
  </r>
  <r>
    <x v="289"/>
    <x v="5"/>
    <x v="8"/>
    <x v="312"/>
    <x v="1"/>
    <x v="542"/>
    <x v="1"/>
    <x v="0"/>
    <x v="5"/>
    <s v="OPEX"/>
    <s v="Retainer"/>
    <x v="3"/>
    <n v="45"/>
    <x v="0"/>
    <n v="8"/>
  </r>
  <r>
    <x v="15"/>
    <x v="11"/>
    <x v="1"/>
    <x v="326"/>
    <x v="2"/>
    <x v="543"/>
    <x v="0"/>
    <x v="0"/>
    <x v="4"/>
    <s v="OPEX"/>
    <s v="Retainer"/>
    <x v="3"/>
    <n v="45"/>
    <x v="2"/>
    <n v="15"/>
  </r>
  <r>
    <x v="206"/>
    <x v="7"/>
    <x v="1"/>
    <x v="101"/>
    <x v="1"/>
    <x v="544"/>
    <x v="0"/>
    <x v="0"/>
    <x v="2"/>
    <s v="OPEX"/>
    <s v="Retainer"/>
    <x v="4"/>
    <n v="60"/>
    <x v="0"/>
    <n v="11"/>
  </r>
  <r>
    <x v="290"/>
    <x v="0"/>
    <x v="6"/>
    <x v="155"/>
    <x v="2"/>
    <x v="545"/>
    <x v="1"/>
    <x v="1"/>
    <x v="2"/>
    <s v="CAPEX"/>
    <s v="Retainer"/>
    <x v="0"/>
    <n v="30"/>
    <x v="0"/>
    <n v="11"/>
  </r>
  <r>
    <x v="45"/>
    <x v="3"/>
    <x v="3"/>
    <x v="184"/>
    <x v="0"/>
    <x v="546"/>
    <x v="1"/>
    <x v="0"/>
    <x v="5"/>
    <s v="CAPEX"/>
    <s v="Variable"/>
    <x v="2"/>
    <n v="60"/>
    <x v="0"/>
    <n v="4"/>
  </r>
  <r>
    <x v="147"/>
    <x v="10"/>
    <x v="8"/>
    <x v="327"/>
    <x v="2"/>
    <x v="547"/>
    <x v="0"/>
    <x v="1"/>
    <x v="0"/>
    <s v="OPEX"/>
    <s v="Fixed"/>
    <x v="1"/>
    <n v="30"/>
    <x v="0"/>
    <n v="16"/>
  </r>
  <r>
    <x v="134"/>
    <x v="3"/>
    <x v="4"/>
    <x v="305"/>
    <x v="1"/>
    <x v="548"/>
    <x v="1"/>
    <x v="1"/>
    <x v="2"/>
    <s v="CAPEX"/>
    <s v="Variable"/>
    <x v="1"/>
    <n v="30"/>
    <x v="2"/>
    <n v="12"/>
  </r>
  <r>
    <x v="270"/>
    <x v="7"/>
    <x v="0"/>
    <x v="5"/>
    <x v="0"/>
    <x v="549"/>
    <x v="0"/>
    <x v="1"/>
    <x v="3"/>
    <s v="OPEX"/>
    <s v="Retainer"/>
    <x v="1"/>
    <n v="60"/>
    <x v="2"/>
    <n v="16"/>
  </r>
  <r>
    <x v="288"/>
    <x v="8"/>
    <x v="4"/>
    <x v="328"/>
    <x v="2"/>
    <x v="550"/>
    <x v="0"/>
    <x v="1"/>
    <x v="0"/>
    <s v="OPEX"/>
    <s v="Variable"/>
    <x v="1"/>
    <n v="60"/>
    <x v="2"/>
    <n v="14"/>
  </r>
  <r>
    <x v="162"/>
    <x v="3"/>
    <x v="8"/>
    <x v="329"/>
    <x v="2"/>
    <x v="551"/>
    <x v="0"/>
    <x v="1"/>
    <x v="4"/>
    <s v="OPEX"/>
    <s v="Variable"/>
    <x v="4"/>
    <n v="45"/>
    <x v="1"/>
    <n v="9"/>
  </r>
  <r>
    <x v="234"/>
    <x v="0"/>
    <x v="4"/>
    <x v="172"/>
    <x v="0"/>
    <x v="552"/>
    <x v="1"/>
    <x v="0"/>
    <x v="0"/>
    <s v="CAPEX"/>
    <s v="Fixed"/>
    <x v="4"/>
    <n v="90"/>
    <x v="0"/>
    <n v="11"/>
  </r>
  <r>
    <x v="185"/>
    <x v="9"/>
    <x v="3"/>
    <x v="26"/>
    <x v="1"/>
    <x v="553"/>
    <x v="1"/>
    <x v="1"/>
    <x v="2"/>
    <s v="OPEX"/>
    <s v="Retainer"/>
    <x v="0"/>
    <n v="45"/>
    <x v="1"/>
    <n v="18"/>
  </r>
  <r>
    <x v="291"/>
    <x v="9"/>
    <x v="3"/>
    <x v="330"/>
    <x v="2"/>
    <x v="554"/>
    <x v="0"/>
    <x v="0"/>
    <x v="0"/>
    <s v="OPEX"/>
    <s v="Fixed"/>
    <x v="4"/>
    <n v="90"/>
    <x v="2"/>
    <n v="14"/>
  </r>
  <r>
    <x v="136"/>
    <x v="4"/>
    <x v="1"/>
    <x v="316"/>
    <x v="2"/>
    <x v="555"/>
    <x v="0"/>
    <x v="0"/>
    <x v="1"/>
    <s v="CAPEX"/>
    <s v="Variable"/>
    <x v="2"/>
    <n v="45"/>
    <x v="1"/>
    <n v="4"/>
  </r>
  <r>
    <x v="287"/>
    <x v="1"/>
    <x v="9"/>
    <x v="284"/>
    <x v="0"/>
    <x v="556"/>
    <x v="0"/>
    <x v="0"/>
    <x v="1"/>
    <s v="CAPEX"/>
    <s v="Variable"/>
    <x v="1"/>
    <n v="90"/>
    <x v="1"/>
    <n v="13"/>
  </r>
  <r>
    <x v="124"/>
    <x v="3"/>
    <x v="1"/>
    <x v="235"/>
    <x v="1"/>
    <x v="557"/>
    <x v="0"/>
    <x v="1"/>
    <x v="0"/>
    <s v="OPEX"/>
    <s v="Variable"/>
    <x v="4"/>
    <n v="30"/>
    <x v="1"/>
    <n v="3"/>
  </r>
  <r>
    <x v="251"/>
    <x v="6"/>
    <x v="7"/>
    <x v="331"/>
    <x v="1"/>
    <x v="558"/>
    <x v="1"/>
    <x v="0"/>
    <x v="0"/>
    <s v="CAPEX"/>
    <s v="Fixed"/>
    <x v="4"/>
    <n v="30"/>
    <x v="0"/>
    <n v="18"/>
  </r>
  <r>
    <x v="223"/>
    <x v="8"/>
    <x v="0"/>
    <x v="332"/>
    <x v="2"/>
    <x v="559"/>
    <x v="0"/>
    <x v="1"/>
    <x v="4"/>
    <s v="OPEX"/>
    <s v="Retainer"/>
    <x v="2"/>
    <n v="45"/>
    <x v="1"/>
    <n v="13"/>
  </r>
  <r>
    <x v="292"/>
    <x v="1"/>
    <x v="5"/>
    <x v="273"/>
    <x v="0"/>
    <x v="560"/>
    <x v="0"/>
    <x v="1"/>
    <x v="4"/>
    <s v="OPEX"/>
    <s v="Fixed"/>
    <x v="0"/>
    <n v="30"/>
    <x v="2"/>
    <n v="17"/>
  </r>
  <r>
    <x v="215"/>
    <x v="5"/>
    <x v="0"/>
    <x v="333"/>
    <x v="1"/>
    <x v="561"/>
    <x v="1"/>
    <x v="1"/>
    <x v="4"/>
    <s v="OPEX"/>
    <s v="Retainer"/>
    <x v="4"/>
    <n v="45"/>
    <x v="1"/>
    <n v="15"/>
  </r>
  <r>
    <x v="254"/>
    <x v="7"/>
    <x v="8"/>
    <x v="263"/>
    <x v="2"/>
    <x v="562"/>
    <x v="1"/>
    <x v="1"/>
    <x v="4"/>
    <s v="OPEX"/>
    <s v="Variable"/>
    <x v="1"/>
    <n v="90"/>
    <x v="1"/>
    <n v="20"/>
  </r>
  <r>
    <x v="293"/>
    <x v="11"/>
    <x v="2"/>
    <x v="277"/>
    <x v="2"/>
    <x v="563"/>
    <x v="1"/>
    <x v="0"/>
    <x v="4"/>
    <s v="CAPEX"/>
    <s v="Retainer"/>
    <x v="1"/>
    <n v="60"/>
    <x v="1"/>
    <n v="10"/>
  </r>
  <r>
    <x v="150"/>
    <x v="6"/>
    <x v="7"/>
    <x v="334"/>
    <x v="0"/>
    <x v="564"/>
    <x v="0"/>
    <x v="1"/>
    <x v="5"/>
    <s v="OPEX"/>
    <s v="Retainer"/>
    <x v="1"/>
    <n v="60"/>
    <x v="0"/>
    <n v="20"/>
  </r>
  <r>
    <x v="28"/>
    <x v="11"/>
    <x v="0"/>
    <x v="200"/>
    <x v="2"/>
    <x v="565"/>
    <x v="0"/>
    <x v="0"/>
    <x v="0"/>
    <s v="CAPEX"/>
    <s v="Fixed"/>
    <x v="3"/>
    <n v="60"/>
    <x v="2"/>
    <n v="18"/>
  </r>
  <r>
    <x v="143"/>
    <x v="10"/>
    <x v="0"/>
    <x v="335"/>
    <x v="2"/>
    <x v="566"/>
    <x v="0"/>
    <x v="0"/>
    <x v="5"/>
    <s v="OPEX"/>
    <s v="Retainer"/>
    <x v="1"/>
    <n v="30"/>
    <x v="0"/>
    <n v="18"/>
  </r>
  <r>
    <x v="294"/>
    <x v="10"/>
    <x v="1"/>
    <x v="186"/>
    <x v="2"/>
    <x v="567"/>
    <x v="0"/>
    <x v="1"/>
    <x v="1"/>
    <s v="OPEX"/>
    <s v="Retainer"/>
    <x v="1"/>
    <n v="60"/>
    <x v="2"/>
    <n v="18"/>
  </r>
  <r>
    <x v="209"/>
    <x v="6"/>
    <x v="6"/>
    <x v="328"/>
    <x v="1"/>
    <x v="568"/>
    <x v="0"/>
    <x v="1"/>
    <x v="5"/>
    <s v="OPEX"/>
    <s v="Variable"/>
    <x v="3"/>
    <n v="60"/>
    <x v="1"/>
    <n v="9"/>
  </r>
  <r>
    <x v="231"/>
    <x v="10"/>
    <x v="2"/>
    <x v="257"/>
    <x v="1"/>
    <x v="569"/>
    <x v="1"/>
    <x v="1"/>
    <x v="3"/>
    <s v="OPEX"/>
    <s v="Fixed"/>
    <x v="3"/>
    <n v="60"/>
    <x v="2"/>
    <n v="15"/>
  </r>
  <r>
    <x v="137"/>
    <x v="6"/>
    <x v="7"/>
    <x v="336"/>
    <x v="2"/>
    <x v="570"/>
    <x v="0"/>
    <x v="0"/>
    <x v="2"/>
    <s v="OPEX"/>
    <s v="Variable"/>
    <x v="1"/>
    <n v="60"/>
    <x v="2"/>
    <n v="5"/>
  </r>
  <r>
    <x v="176"/>
    <x v="5"/>
    <x v="9"/>
    <x v="337"/>
    <x v="1"/>
    <x v="571"/>
    <x v="1"/>
    <x v="0"/>
    <x v="1"/>
    <s v="OPEX"/>
    <s v="Retainer"/>
    <x v="1"/>
    <n v="60"/>
    <x v="2"/>
    <n v="16"/>
  </r>
  <r>
    <x v="205"/>
    <x v="5"/>
    <x v="4"/>
    <x v="250"/>
    <x v="2"/>
    <x v="572"/>
    <x v="1"/>
    <x v="1"/>
    <x v="5"/>
    <s v="CAPEX"/>
    <s v="Variable"/>
    <x v="2"/>
    <n v="60"/>
    <x v="2"/>
    <n v="7"/>
  </r>
  <r>
    <x v="295"/>
    <x v="7"/>
    <x v="3"/>
    <x v="326"/>
    <x v="1"/>
    <x v="573"/>
    <x v="1"/>
    <x v="0"/>
    <x v="5"/>
    <s v="CAPEX"/>
    <s v="Retainer"/>
    <x v="3"/>
    <n v="90"/>
    <x v="1"/>
    <n v="19"/>
  </r>
  <r>
    <x v="146"/>
    <x v="6"/>
    <x v="7"/>
    <x v="338"/>
    <x v="2"/>
    <x v="574"/>
    <x v="1"/>
    <x v="0"/>
    <x v="1"/>
    <s v="OPEX"/>
    <s v="Fixed"/>
    <x v="0"/>
    <n v="60"/>
    <x v="2"/>
    <n v="16"/>
  </r>
  <r>
    <x v="17"/>
    <x v="4"/>
    <x v="0"/>
    <x v="63"/>
    <x v="2"/>
    <x v="575"/>
    <x v="1"/>
    <x v="1"/>
    <x v="3"/>
    <s v="CAPEX"/>
    <s v="Fixed"/>
    <x v="2"/>
    <n v="30"/>
    <x v="2"/>
    <n v="8"/>
  </r>
  <r>
    <x v="157"/>
    <x v="4"/>
    <x v="9"/>
    <x v="339"/>
    <x v="0"/>
    <x v="576"/>
    <x v="1"/>
    <x v="1"/>
    <x v="5"/>
    <s v="OPEX"/>
    <s v="Fixed"/>
    <x v="2"/>
    <n v="90"/>
    <x v="0"/>
    <n v="19"/>
  </r>
  <r>
    <x v="280"/>
    <x v="7"/>
    <x v="1"/>
    <x v="44"/>
    <x v="2"/>
    <x v="577"/>
    <x v="0"/>
    <x v="1"/>
    <x v="3"/>
    <s v="OPEX"/>
    <s v="Variable"/>
    <x v="0"/>
    <n v="45"/>
    <x v="0"/>
    <n v="14"/>
  </r>
  <r>
    <x v="200"/>
    <x v="6"/>
    <x v="9"/>
    <x v="168"/>
    <x v="2"/>
    <x v="578"/>
    <x v="1"/>
    <x v="1"/>
    <x v="5"/>
    <s v="CAPEX"/>
    <s v="Retainer"/>
    <x v="3"/>
    <n v="30"/>
    <x v="0"/>
    <n v="3"/>
  </r>
  <r>
    <x v="112"/>
    <x v="11"/>
    <x v="6"/>
    <x v="265"/>
    <x v="1"/>
    <x v="579"/>
    <x v="0"/>
    <x v="0"/>
    <x v="1"/>
    <s v="OPEX"/>
    <s v="Retainer"/>
    <x v="1"/>
    <n v="60"/>
    <x v="1"/>
    <n v="6"/>
  </r>
  <r>
    <x v="193"/>
    <x v="2"/>
    <x v="7"/>
    <x v="340"/>
    <x v="0"/>
    <x v="580"/>
    <x v="1"/>
    <x v="0"/>
    <x v="0"/>
    <s v="CAPEX"/>
    <s v="Variable"/>
    <x v="0"/>
    <n v="30"/>
    <x v="2"/>
    <n v="18"/>
  </r>
  <r>
    <x v="231"/>
    <x v="6"/>
    <x v="2"/>
    <x v="151"/>
    <x v="1"/>
    <x v="581"/>
    <x v="0"/>
    <x v="1"/>
    <x v="0"/>
    <s v="CAPEX"/>
    <s v="Variable"/>
    <x v="3"/>
    <n v="30"/>
    <x v="1"/>
    <n v="19"/>
  </r>
  <r>
    <x v="112"/>
    <x v="9"/>
    <x v="4"/>
    <x v="111"/>
    <x v="2"/>
    <x v="582"/>
    <x v="1"/>
    <x v="0"/>
    <x v="3"/>
    <s v="OPEX"/>
    <s v="Retainer"/>
    <x v="3"/>
    <n v="45"/>
    <x v="0"/>
    <n v="11"/>
  </r>
  <r>
    <x v="237"/>
    <x v="4"/>
    <x v="1"/>
    <x v="25"/>
    <x v="1"/>
    <x v="583"/>
    <x v="0"/>
    <x v="1"/>
    <x v="3"/>
    <s v="CAPEX"/>
    <s v="Variable"/>
    <x v="1"/>
    <n v="30"/>
    <x v="1"/>
    <n v="5"/>
  </r>
  <r>
    <x v="115"/>
    <x v="10"/>
    <x v="4"/>
    <x v="169"/>
    <x v="0"/>
    <x v="584"/>
    <x v="1"/>
    <x v="1"/>
    <x v="0"/>
    <s v="OPEX"/>
    <s v="Retainer"/>
    <x v="3"/>
    <n v="60"/>
    <x v="1"/>
    <n v="6"/>
  </r>
  <r>
    <x v="296"/>
    <x v="2"/>
    <x v="7"/>
    <x v="327"/>
    <x v="0"/>
    <x v="585"/>
    <x v="1"/>
    <x v="0"/>
    <x v="5"/>
    <s v="CAPEX"/>
    <s v="Retainer"/>
    <x v="1"/>
    <n v="30"/>
    <x v="1"/>
    <n v="15"/>
  </r>
  <r>
    <x v="115"/>
    <x v="3"/>
    <x v="4"/>
    <x v="313"/>
    <x v="1"/>
    <x v="586"/>
    <x v="1"/>
    <x v="0"/>
    <x v="1"/>
    <s v="OPEX"/>
    <s v="Variable"/>
    <x v="1"/>
    <n v="45"/>
    <x v="1"/>
    <n v="12"/>
  </r>
  <r>
    <x v="58"/>
    <x v="3"/>
    <x v="9"/>
    <x v="341"/>
    <x v="0"/>
    <x v="587"/>
    <x v="0"/>
    <x v="0"/>
    <x v="0"/>
    <s v="CAPEX"/>
    <s v="Retainer"/>
    <x v="1"/>
    <n v="90"/>
    <x v="2"/>
    <n v="12"/>
  </r>
  <r>
    <x v="160"/>
    <x v="7"/>
    <x v="5"/>
    <x v="288"/>
    <x v="0"/>
    <x v="588"/>
    <x v="0"/>
    <x v="1"/>
    <x v="1"/>
    <s v="CAPEX"/>
    <s v="Variable"/>
    <x v="4"/>
    <n v="45"/>
    <x v="0"/>
    <n v="3"/>
  </r>
  <r>
    <x v="139"/>
    <x v="7"/>
    <x v="8"/>
    <x v="342"/>
    <x v="0"/>
    <x v="589"/>
    <x v="0"/>
    <x v="1"/>
    <x v="3"/>
    <s v="CAPEX"/>
    <s v="Retainer"/>
    <x v="1"/>
    <n v="60"/>
    <x v="0"/>
    <n v="14"/>
  </r>
  <r>
    <x v="297"/>
    <x v="9"/>
    <x v="2"/>
    <x v="213"/>
    <x v="1"/>
    <x v="590"/>
    <x v="0"/>
    <x v="0"/>
    <x v="4"/>
    <s v="OPEX"/>
    <s v="Retainer"/>
    <x v="2"/>
    <n v="90"/>
    <x v="0"/>
    <n v="18"/>
  </r>
  <r>
    <x v="145"/>
    <x v="9"/>
    <x v="7"/>
    <x v="343"/>
    <x v="2"/>
    <x v="591"/>
    <x v="0"/>
    <x v="0"/>
    <x v="0"/>
    <s v="OPEX"/>
    <s v="Retainer"/>
    <x v="0"/>
    <n v="60"/>
    <x v="2"/>
    <n v="6"/>
  </r>
  <r>
    <x v="116"/>
    <x v="9"/>
    <x v="5"/>
    <x v="344"/>
    <x v="1"/>
    <x v="592"/>
    <x v="1"/>
    <x v="0"/>
    <x v="1"/>
    <s v="OPEX"/>
    <s v="Fixed"/>
    <x v="3"/>
    <n v="45"/>
    <x v="0"/>
    <n v="4"/>
  </r>
  <r>
    <x v="162"/>
    <x v="7"/>
    <x v="7"/>
    <x v="209"/>
    <x v="2"/>
    <x v="593"/>
    <x v="1"/>
    <x v="0"/>
    <x v="4"/>
    <s v="OPEX"/>
    <s v="Retainer"/>
    <x v="3"/>
    <n v="30"/>
    <x v="1"/>
    <n v="6"/>
  </r>
  <r>
    <x v="27"/>
    <x v="2"/>
    <x v="1"/>
    <x v="189"/>
    <x v="2"/>
    <x v="594"/>
    <x v="1"/>
    <x v="1"/>
    <x v="4"/>
    <s v="CAPEX"/>
    <s v="Fixed"/>
    <x v="2"/>
    <n v="45"/>
    <x v="1"/>
    <n v="8"/>
  </r>
  <r>
    <x v="64"/>
    <x v="5"/>
    <x v="6"/>
    <x v="17"/>
    <x v="1"/>
    <x v="595"/>
    <x v="0"/>
    <x v="0"/>
    <x v="5"/>
    <s v="OPEX"/>
    <s v="Variable"/>
    <x v="3"/>
    <n v="60"/>
    <x v="2"/>
    <n v="12"/>
  </r>
  <r>
    <x v="45"/>
    <x v="3"/>
    <x v="1"/>
    <x v="1"/>
    <x v="1"/>
    <x v="596"/>
    <x v="0"/>
    <x v="1"/>
    <x v="1"/>
    <s v="CAPEX"/>
    <s v="Retainer"/>
    <x v="1"/>
    <n v="90"/>
    <x v="1"/>
    <n v="14"/>
  </r>
  <r>
    <x v="298"/>
    <x v="10"/>
    <x v="1"/>
    <x v="345"/>
    <x v="1"/>
    <x v="597"/>
    <x v="1"/>
    <x v="1"/>
    <x v="5"/>
    <s v="CAPEX"/>
    <s v="Variable"/>
    <x v="4"/>
    <n v="60"/>
    <x v="1"/>
    <n v="6"/>
  </r>
  <r>
    <x v="244"/>
    <x v="10"/>
    <x v="9"/>
    <x v="110"/>
    <x v="2"/>
    <x v="598"/>
    <x v="1"/>
    <x v="1"/>
    <x v="2"/>
    <s v="OPEX"/>
    <s v="Variable"/>
    <x v="1"/>
    <n v="45"/>
    <x v="0"/>
    <n v="11"/>
  </r>
  <r>
    <x v="299"/>
    <x v="2"/>
    <x v="5"/>
    <x v="46"/>
    <x v="2"/>
    <x v="599"/>
    <x v="0"/>
    <x v="1"/>
    <x v="2"/>
    <s v="OPEX"/>
    <s v="Retainer"/>
    <x v="1"/>
    <n v="45"/>
    <x v="2"/>
    <n v="18"/>
  </r>
  <r>
    <x v="189"/>
    <x v="7"/>
    <x v="8"/>
    <x v="346"/>
    <x v="1"/>
    <x v="600"/>
    <x v="0"/>
    <x v="1"/>
    <x v="2"/>
    <s v="OPEX"/>
    <s v="Retainer"/>
    <x v="2"/>
    <n v="45"/>
    <x v="1"/>
    <n v="11"/>
  </r>
  <r>
    <x v="112"/>
    <x v="2"/>
    <x v="6"/>
    <x v="253"/>
    <x v="0"/>
    <x v="601"/>
    <x v="0"/>
    <x v="1"/>
    <x v="2"/>
    <s v="CAPEX"/>
    <s v="Fixed"/>
    <x v="0"/>
    <n v="45"/>
    <x v="2"/>
    <n v="16"/>
  </r>
  <r>
    <x v="300"/>
    <x v="9"/>
    <x v="1"/>
    <x v="232"/>
    <x v="2"/>
    <x v="602"/>
    <x v="1"/>
    <x v="1"/>
    <x v="4"/>
    <s v="OPEX"/>
    <s v="Variable"/>
    <x v="1"/>
    <n v="30"/>
    <x v="1"/>
    <n v="16"/>
  </r>
  <r>
    <x v="71"/>
    <x v="3"/>
    <x v="1"/>
    <x v="318"/>
    <x v="2"/>
    <x v="603"/>
    <x v="0"/>
    <x v="1"/>
    <x v="5"/>
    <s v="OPEX"/>
    <s v="Variable"/>
    <x v="1"/>
    <n v="45"/>
    <x v="0"/>
    <n v="17"/>
  </r>
  <r>
    <x v="83"/>
    <x v="5"/>
    <x v="0"/>
    <x v="347"/>
    <x v="1"/>
    <x v="604"/>
    <x v="1"/>
    <x v="1"/>
    <x v="5"/>
    <s v="CAPEX"/>
    <s v="Fixed"/>
    <x v="1"/>
    <n v="45"/>
    <x v="2"/>
    <n v="20"/>
  </r>
  <r>
    <x v="129"/>
    <x v="5"/>
    <x v="7"/>
    <x v="121"/>
    <x v="2"/>
    <x v="605"/>
    <x v="0"/>
    <x v="1"/>
    <x v="0"/>
    <s v="OPEX"/>
    <s v="Variable"/>
    <x v="1"/>
    <n v="45"/>
    <x v="1"/>
    <n v="9"/>
  </r>
  <r>
    <x v="204"/>
    <x v="4"/>
    <x v="5"/>
    <x v="348"/>
    <x v="2"/>
    <x v="606"/>
    <x v="0"/>
    <x v="1"/>
    <x v="0"/>
    <s v="OPEX"/>
    <s v="Variable"/>
    <x v="1"/>
    <n v="30"/>
    <x v="2"/>
    <n v="3"/>
  </r>
  <r>
    <x v="104"/>
    <x v="10"/>
    <x v="7"/>
    <x v="113"/>
    <x v="1"/>
    <x v="607"/>
    <x v="1"/>
    <x v="1"/>
    <x v="0"/>
    <s v="OPEX"/>
    <s v="Variable"/>
    <x v="2"/>
    <n v="30"/>
    <x v="2"/>
    <n v="20"/>
  </r>
  <r>
    <x v="299"/>
    <x v="4"/>
    <x v="6"/>
    <x v="167"/>
    <x v="2"/>
    <x v="608"/>
    <x v="0"/>
    <x v="0"/>
    <x v="1"/>
    <s v="OPEX"/>
    <s v="Variable"/>
    <x v="2"/>
    <n v="60"/>
    <x v="0"/>
    <n v="8"/>
  </r>
  <r>
    <x v="288"/>
    <x v="7"/>
    <x v="9"/>
    <x v="349"/>
    <x v="2"/>
    <x v="609"/>
    <x v="0"/>
    <x v="1"/>
    <x v="2"/>
    <s v="OPEX"/>
    <s v="Retainer"/>
    <x v="1"/>
    <n v="60"/>
    <x v="0"/>
    <n v="11"/>
  </r>
  <r>
    <x v="147"/>
    <x v="4"/>
    <x v="6"/>
    <x v="10"/>
    <x v="0"/>
    <x v="610"/>
    <x v="1"/>
    <x v="0"/>
    <x v="4"/>
    <s v="CAPEX"/>
    <s v="Fixed"/>
    <x v="2"/>
    <n v="90"/>
    <x v="2"/>
    <n v="13"/>
  </r>
  <r>
    <x v="221"/>
    <x v="0"/>
    <x v="0"/>
    <x v="159"/>
    <x v="2"/>
    <x v="611"/>
    <x v="0"/>
    <x v="1"/>
    <x v="5"/>
    <s v="CAPEX"/>
    <s v="Fixed"/>
    <x v="4"/>
    <n v="45"/>
    <x v="2"/>
    <n v="3"/>
  </r>
  <r>
    <x v="172"/>
    <x v="9"/>
    <x v="2"/>
    <x v="183"/>
    <x v="2"/>
    <x v="612"/>
    <x v="0"/>
    <x v="0"/>
    <x v="0"/>
    <s v="OPEX"/>
    <s v="Fixed"/>
    <x v="1"/>
    <n v="90"/>
    <x v="0"/>
    <n v="4"/>
  </r>
  <r>
    <x v="10"/>
    <x v="6"/>
    <x v="7"/>
    <x v="163"/>
    <x v="0"/>
    <x v="613"/>
    <x v="0"/>
    <x v="1"/>
    <x v="5"/>
    <s v="CAPEX"/>
    <s v="Fixed"/>
    <x v="3"/>
    <n v="60"/>
    <x v="1"/>
    <n v="19"/>
  </r>
  <r>
    <x v="191"/>
    <x v="10"/>
    <x v="3"/>
    <x v="20"/>
    <x v="0"/>
    <x v="614"/>
    <x v="1"/>
    <x v="0"/>
    <x v="5"/>
    <s v="CAPEX"/>
    <s v="Retainer"/>
    <x v="2"/>
    <n v="45"/>
    <x v="0"/>
    <n v="11"/>
  </r>
  <r>
    <x v="179"/>
    <x v="8"/>
    <x v="8"/>
    <x v="350"/>
    <x v="2"/>
    <x v="615"/>
    <x v="1"/>
    <x v="1"/>
    <x v="3"/>
    <s v="CAPEX"/>
    <s v="Retainer"/>
    <x v="1"/>
    <n v="90"/>
    <x v="2"/>
    <n v="6"/>
  </r>
  <r>
    <x v="215"/>
    <x v="6"/>
    <x v="7"/>
    <x v="132"/>
    <x v="2"/>
    <x v="616"/>
    <x v="1"/>
    <x v="0"/>
    <x v="3"/>
    <s v="CAPEX"/>
    <s v="Variable"/>
    <x v="0"/>
    <n v="90"/>
    <x v="1"/>
    <n v="9"/>
  </r>
  <r>
    <x v="140"/>
    <x v="11"/>
    <x v="8"/>
    <x v="24"/>
    <x v="2"/>
    <x v="617"/>
    <x v="1"/>
    <x v="0"/>
    <x v="2"/>
    <s v="CAPEX"/>
    <s v="Fixed"/>
    <x v="2"/>
    <n v="90"/>
    <x v="1"/>
    <n v="6"/>
  </r>
  <r>
    <x v="131"/>
    <x v="3"/>
    <x v="3"/>
    <x v="264"/>
    <x v="2"/>
    <x v="618"/>
    <x v="1"/>
    <x v="0"/>
    <x v="3"/>
    <s v="CAPEX"/>
    <s v="Retainer"/>
    <x v="1"/>
    <n v="30"/>
    <x v="2"/>
    <n v="9"/>
  </r>
  <r>
    <x v="253"/>
    <x v="10"/>
    <x v="4"/>
    <x v="174"/>
    <x v="1"/>
    <x v="619"/>
    <x v="0"/>
    <x v="0"/>
    <x v="2"/>
    <s v="CAPEX"/>
    <s v="Fixed"/>
    <x v="4"/>
    <n v="90"/>
    <x v="2"/>
    <n v="6"/>
  </r>
  <r>
    <x v="148"/>
    <x v="8"/>
    <x v="5"/>
    <x v="351"/>
    <x v="1"/>
    <x v="620"/>
    <x v="1"/>
    <x v="0"/>
    <x v="2"/>
    <s v="CAPEX"/>
    <s v="Variable"/>
    <x v="1"/>
    <n v="45"/>
    <x v="2"/>
    <n v="18"/>
  </r>
  <r>
    <x v="301"/>
    <x v="0"/>
    <x v="3"/>
    <x v="79"/>
    <x v="1"/>
    <x v="621"/>
    <x v="1"/>
    <x v="1"/>
    <x v="2"/>
    <s v="CAPEX"/>
    <s v="Retainer"/>
    <x v="3"/>
    <n v="90"/>
    <x v="0"/>
    <n v="18"/>
  </r>
  <r>
    <x v="171"/>
    <x v="8"/>
    <x v="7"/>
    <x v="5"/>
    <x v="1"/>
    <x v="622"/>
    <x v="1"/>
    <x v="0"/>
    <x v="2"/>
    <s v="OPEX"/>
    <s v="Retainer"/>
    <x v="0"/>
    <n v="90"/>
    <x v="2"/>
    <n v="6"/>
  </r>
  <r>
    <x v="276"/>
    <x v="1"/>
    <x v="3"/>
    <x v="178"/>
    <x v="2"/>
    <x v="623"/>
    <x v="1"/>
    <x v="0"/>
    <x v="3"/>
    <s v="OPEX"/>
    <s v="Fixed"/>
    <x v="3"/>
    <n v="90"/>
    <x v="1"/>
    <n v="14"/>
  </r>
  <r>
    <x v="54"/>
    <x v="11"/>
    <x v="7"/>
    <x v="342"/>
    <x v="0"/>
    <x v="624"/>
    <x v="0"/>
    <x v="1"/>
    <x v="3"/>
    <s v="CAPEX"/>
    <s v="Fixed"/>
    <x v="2"/>
    <n v="60"/>
    <x v="2"/>
    <n v="15"/>
  </r>
  <r>
    <x v="78"/>
    <x v="6"/>
    <x v="5"/>
    <x v="101"/>
    <x v="0"/>
    <x v="625"/>
    <x v="1"/>
    <x v="1"/>
    <x v="2"/>
    <s v="CAPEX"/>
    <s v="Variable"/>
    <x v="1"/>
    <n v="60"/>
    <x v="2"/>
    <n v="7"/>
  </r>
  <r>
    <x v="302"/>
    <x v="10"/>
    <x v="3"/>
    <x v="53"/>
    <x v="1"/>
    <x v="626"/>
    <x v="1"/>
    <x v="0"/>
    <x v="1"/>
    <s v="CAPEX"/>
    <s v="Fixed"/>
    <x v="1"/>
    <n v="90"/>
    <x v="2"/>
    <n v="8"/>
  </r>
  <r>
    <x v="303"/>
    <x v="0"/>
    <x v="8"/>
    <x v="70"/>
    <x v="2"/>
    <x v="627"/>
    <x v="1"/>
    <x v="0"/>
    <x v="0"/>
    <s v="CAPEX"/>
    <s v="Retainer"/>
    <x v="3"/>
    <n v="30"/>
    <x v="1"/>
    <n v="15"/>
  </r>
  <r>
    <x v="298"/>
    <x v="4"/>
    <x v="5"/>
    <x v="352"/>
    <x v="1"/>
    <x v="628"/>
    <x v="1"/>
    <x v="1"/>
    <x v="1"/>
    <s v="CAPEX"/>
    <s v="Fixed"/>
    <x v="4"/>
    <n v="30"/>
    <x v="2"/>
    <n v="9"/>
  </r>
  <r>
    <x v="215"/>
    <x v="1"/>
    <x v="2"/>
    <x v="353"/>
    <x v="1"/>
    <x v="629"/>
    <x v="1"/>
    <x v="0"/>
    <x v="2"/>
    <s v="CAPEX"/>
    <s v="Variable"/>
    <x v="3"/>
    <n v="90"/>
    <x v="1"/>
    <n v="18"/>
  </r>
  <r>
    <x v="118"/>
    <x v="9"/>
    <x v="8"/>
    <x v="117"/>
    <x v="1"/>
    <x v="630"/>
    <x v="1"/>
    <x v="0"/>
    <x v="2"/>
    <s v="CAPEX"/>
    <s v="Variable"/>
    <x v="4"/>
    <n v="90"/>
    <x v="2"/>
    <n v="5"/>
  </r>
  <r>
    <x v="83"/>
    <x v="6"/>
    <x v="4"/>
    <x v="331"/>
    <x v="2"/>
    <x v="631"/>
    <x v="0"/>
    <x v="1"/>
    <x v="0"/>
    <s v="CAPEX"/>
    <s v="Variable"/>
    <x v="0"/>
    <n v="90"/>
    <x v="2"/>
    <n v="18"/>
  </r>
  <r>
    <x v="37"/>
    <x v="6"/>
    <x v="7"/>
    <x v="184"/>
    <x v="0"/>
    <x v="632"/>
    <x v="0"/>
    <x v="0"/>
    <x v="5"/>
    <s v="OPEX"/>
    <s v="Retainer"/>
    <x v="1"/>
    <n v="45"/>
    <x v="0"/>
    <n v="9"/>
  </r>
  <r>
    <x v="304"/>
    <x v="7"/>
    <x v="6"/>
    <x v="53"/>
    <x v="0"/>
    <x v="633"/>
    <x v="1"/>
    <x v="0"/>
    <x v="3"/>
    <s v="CAPEX"/>
    <s v="Retainer"/>
    <x v="2"/>
    <n v="45"/>
    <x v="1"/>
    <n v="20"/>
  </r>
  <r>
    <x v="283"/>
    <x v="7"/>
    <x v="7"/>
    <x v="311"/>
    <x v="2"/>
    <x v="634"/>
    <x v="0"/>
    <x v="1"/>
    <x v="5"/>
    <s v="CAPEX"/>
    <s v="Fixed"/>
    <x v="0"/>
    <n v="60"/>
    <x v="1"/>
    <n v="20"/>
  </r>
  <r>
    <x v="244"/>
    <x v="9"/>
    <x v="0"/>
    <x v="265"/>
    <x v="1"/>
    <x v="635"/>
    <x v="0"/>
    <x v="0"/>
    <x v="4"/>
    <s v="CAPEX"/>
    <s v="Retainer"/>
    <x v="4"/>
    <n v="60"/>
    <x v="1"/>
    <n v="13"/>
  </r>
  <r>
    <x v="192"/>
    <x v="10"/>
    <x v="6"/>
    <x v="354"/>
    <x v="1"/>
    <x v="636"/>
    <x v="1"/>
    <x v="1"/>
    <x v="0"/>
    <s v="CAPEX"/>
    <s v="Retainer"/>
    <x v="2"/>
    <n v="45"/>
    <x v="0"/>
    <n v="15"/>
  </r>
  <r>
    <x v="128"/>
    <x v="1"/>
    <x v="9"/>
    <x v="355"/>
    <x v="0"/>
    <x v="637"/>
    <x v="0"/>
    <x v="0"/>
    <x v="0"/>
    <s v="OPEX"/>
    <s v="Fixed"/>
    <x v="1"/>
    <n v="30"/>
    <x v="0"/>
    <n v="13"/>
  </r>
  <r>
    <x v="71"/>
    <x v="10"/>
    <x v="2"/>
    <x v="115"/>
    <x v="1"/>
    <x v="638"/>
    <x v="1"/>
    <x v="0"/>
    <x v="0"/>
    <s v="OPEX"/>
    <s v="Retainer"/>
    <x v="1"/>
    <n v="30"/>
    <x v="1"/>
    <n v="8"/>
  </r>
  <r>
    <x v="4"/>
    <x v="6"/>
    <x v="0"/>
    <x v="31"/>
    <x v="1"/>
    <x v="639"/>
    <x v="0"/>
    <x v="0"/>
    <x v="4"/>
    <s v="OPEX"/>
    <s v="Fixed"/>
    <x v="4"/>
    <n v="90"/>
    <x v="2"/>
    <n v="9"/>
  </r>
  <r>
    <x v="123"/>
    <x v="1"/>
    <x v="4"/>
    <x v="147"/>
    <x v="0"/>
    <x v="640"/>
    <x v="1"/>
    <x v="0"/>
    <x v="4"/>
    <s v="OPEX"/>
    <s v="Fixed"/>
    <x v="4"/>
    <n v="30"/>
    <x v="0"/>
    <n v="4"/>
  </r>
  <r>
    <x v="110"/>
    <x v="8"/>
    <x v="1"/>
    <x v="86"/>
    <x v="1"/>
    <x v="641"/>
    <x v="1"/>
    <x v="1"/>
    <x v="3"/>
    <s v="OPEX"/>
    <s v="Fixed"/>
    <x v="3"/>
    <n v="30"/>
    <x v="2"/>
    <n v="17"/>
  </r>
  <r>
    <x v="81"/>
    <x v="10"/>
    <x v="1"/>
    <x v="33"/>
    <x v="1"/>
    <x v="642"/>
    <x v="0"/>
    <x v="1"/>
    <x v="1"/>
    <s v="OPEX"/>
    <s v="Variable"/>
    <x v="3"/>
    <n v="60"/>
    <x v="2"/>
    <n v="16"/>
  </r>
  <r>
    <x v="5"/>
    <x v="8"/>
    <x v="8"/>
    <x v="356"/>
    <x v="2"/>
    <x v="643"/>
    <x v="0"/>
    <x v="1"/>
    <x v="2"/>
    <s v="OPEX"/>
    <s v="Retainer"/>
    <x v="1"/>
    <n v="60"/>
    <x v="1"/>
    <n v="5"/>
  </r>
  <r>
    <x v="14"/>
    <x v="0"/>
    <x v="2"/>
    <x v="263"/>
    <x v="1"/>
    <x v="644"/>
    <x v="1"/>
    <x v="1"/>
    <x v="1"/>
    <s v="CAPEX"/>
    <s v="Retainer"/>
    <x v="3"/>
    <n v="45"/>
    <x v="2"/>
    <n v="18"/>
  </r>
  <r>
    <x v="261"/>
    <x v="3"/>
    <x v="3"/>
    <x v="317"/>
    <x v="1"/>
    <x v="645"/>
    <x v="0"/>
    <x v="1"/>
    <x v="1"/>
    <s v="CAPEX"/>
    <s v="Retainer"/>
    <x v="2"/>
    <n v="90"/>
    <x v="0"/>
    <n v="11"/>
  </r>
  <r>
    <x v="21"/>
    <x v="8"/>
    <x v="0"/>
    <x v="38"/>
    <x v="1"/>
    <x v="646"/>
    <x v="1"/>
    <x v="0"/>
    <x v="5"/>
    <s v="CAPEX"/>
    <s v="Variable"/>
    <x v="2"/>
    <n v="30"/>
    <x v="2"/>
    <n v="12"/>
  </r>
  <r>
    <x v="105"/>
    <x v="7"/>
    <x v="4"/>
    <x v="177"/>
    <x v="0"/>
    <x v="647"/>
    <x v="1"/>
    <x v="1"/>
    <x v="4"/>
    <s v="CAPEX"/>
    <s v="Retainer"/>
    <x v="3"/>
    <n v="45"/>
    <x v="1"/>
    <n v="11"/>
  </r>
  <r>
    <x v="136"/>
    <x v="9"/>
    <x v="1"/>
    <x v="117"/>
    <x v="1"/>
    <x v="648"/>
    <x v="1"/>
    <x v="0"/>
    <x v="1"/>
    <s v="OPEX"/>
    <s v="Fixed"/>
    <x v="1"/>
    <n v="30"/>
    <x v="2"/>
    <n v="6"/>
  </r>
  <r>
    <x v="95"/>
    <x v="1"/>
    <x v="9"/>
    <x v="116"/>
    <x v="0"/>
    <x v="649"/>
    <x v="1"/>
    <x v="1"/>
    <x v="2"/>
    <s v="CAPEX"/>
    <s v="Variable"/>
    <x v="1"/>
    <n v="45"/>
    <x v="1"/>
    <n v="15"/>
  </r>
  <r>
    <x v="52"/>
    <x v="3"/>
    <x v="1"/>
    <x v="145"/>
    <x v="2"/>
    <x v="650"/>
    <x v="1"/>
    <x v="1"/>
    <x v="0"/>
    <s v="CAPEX"/>
    <s v="Fixed"/>
    <x v="3"/>
    <n v="90"/>
    <x v="0"/>
    <n v="17"/>
  </r>
  <r>
    <x v="205"/>
    <x v="9"/>
    <x v="3"/>
    <x v="168"/>
    <x v="0"/>
    <x v="651"/>
    <x v="0"/>
    <x v="0"/>
    <x v="5"/>
    <s v="OPEX"/>
    <s v="Retainer"/>
    <x v="3"/>
    <n v="30"/>
    <x v="1"/>
    <n v="15"/>
  </r>
  <r>
    <x v="290"/>
    <x v="10"/>
    <x v="4"/>
    <x v="318"/>
    <x v="0"/>
    <x v="652"/>
    <x v="0"/>
    <x v="1"/>
    <x v="4"/>
    <s v="CAPEX"/>
    <s v="Retainer"/>
    <x v="2"/>
    <n v="45"/>
    <x v="0"/>
    <n v="8"/>
  </r>
  <r>
    <x v="190"/>
    <x v="6"/>
    <x v="6"/>
    <x v="357"/>
    <x v="2"/>
    <x v="653"/>
    <x v="0"/>
    <x v="0"/>
    <x v="2"/>
    <s v="CAPEX"/>
    <s v="Variable"/>
    <x v="0"/>
    <n v="60"/>
    <x v="2"/>
    <n v="7"/>
  </r>
  <r>
    <x v="305"/>
    <x v="2"/>
    <x v="4"/>
    <x v="358"/>
    <x v="0"/>
    <x v="654"/>
    <x v="1"/>
    <x v="1"/>
    <x v="1"/>
    <s v="CAPEX"/>
    <s v="Variable"/>
    <x v="1"/>
    <n v="60"/>
    <x v="1"/>
    <n v="10"/>
  </r>
  <r>
    <x v="76"/>
    <x v="8"/>
    <x v="2"/>
    <x v="236"/>
    <x v="2"/>
    <x v="655"/>
    <x v="1"/>
    <x v="1"/>
    <x v="5"/>
    <s v="CAPEX"/>
    <s v="Variable"/>
    <x v="2"/>
    <n v="90"/>
    <x v="2"/>
    <n v="10"/>
  </r>
  <r>
    <x v="101"/>
    <x v="10"/>
    <x v="9"/>
    <x v="148"/>
    <x v="0"/>
    <x v="656"/>
    <x v="0"/>
    <x v="0"/>
    <x v="1"/>
    <s v="OPEX"/>
    <s v="Retainer"/>
    <x v="3"/>
    <n v="30"/>
    <x v="1"/>
    <n v="10"/>
  </r>
  <r>
    <x v="306"/>
    <x v="0"/>
    <x v="0"/>
    <x v="144"/>
    <x v="0"/>
    <x v="657"/>
    <x v="0"/>
    <x v="1"/>
    <x v="0"/>
    <s v="OPEX"/>
    <s v="Retainer"/>
    <x v="0"/>
    <n v="30"/>
    <x v="1"/>
    <n v="20"/>
  </r>
  <r>
    <x v="307"/>
    <x v="3"/>
    <x v="9"/>
    <x v="248"/>
    <x v="0"/>
    <x v="658"/>
    <x v="0"/>
    <x v="0"/>
    <x v="5"/>
    <s v="OPEX"/>
    <s v="Variable"/>
    <x v="2"/>
    <n v="45"/>
    <x v="2"/>
    <n v="6"/>
  </r>
  <r>
    <x v="88"/>
    <x v="8"/>
    <x v="1"/>
    <x v="164"/>
    <x v="2"/>
    <x v="659"/>
    <x v="0"/>
    <x v="1"/>
    <x v="0"/>
    <s v="CAPEX"/>
    <s v="Retainer"/>
    <x v="0"/>
    <n v="60"/>
    <x v="1"/>
    <n v="17"/>
  </r>
  <r>
    <x v="240"/>
    <x v="3"/>
    <x v="7"/>
    <x v="309"/>
    <x v="1"/>
    <x v="660"/>
    <x v="0"/>
    <x v="0"/>
    <x v="0"/>
    <s v="OPEX"/>
    <s v="Retainer"/>
    <x v="0"/>
    <n v="45"/>
    <x v="0"/>
    <n v="18"/>
  </r>
  <r>
    <x v="308"/>
    <x v="2"/>
    <x v="8"/>
    <x v="359"/>
    <x v="2"/>
    <x v="661"/>
    <x v="1"/>
    <x v="0"/>
    <x v="1"/>
    <s v="CAPEX"/>
    <s v="Retainer"/>
    <x v="3"/>
    <n v="45"/>
    <x v="2"/>
    <n v="17"/>
  </r>
  <r>
    <x v="309"/>
    <x v="10"/>
    <x v="3"/>
    <x v="350"/>
    <x v="1"/>
    <x v="662"/>
    <x v="0"/>
    <x v="1"/>
    <x v="4"/>
    <s v="OPEX"/>
    <s v="Variable"/>
    <x v="4"/>
    <n v="30"/>
    <x v="2"/>
    <n v="19"/>
  </r>
  <r>
    <x v="160"/>
    <x v="2"/>
    <x v="7"/>
    <x v="125"/>
    <x v="2"/>
    <x v="663"/>
    <x v="1"/>
    <x v="1"/>
    <x v="3"/>
    <s v="OPEX"/>
    <s v="Fixed"/>
    <x v="3"/>
    <n v="45"/>
    <x v="0"/>
    <n v="4"/>
  </r>
  <r>
    <x v="307"/>
    <x v="10"/>
    <x v="5"/>
    <x v="215"/>
    <x v="0"/>
    <x v="664"/>
    <x v="1"/>
    <x v="1"/>
    <x v="1"/>
    <s v="CAPEX"/>
    <s v="Fixed"/>
    <x v="2"/>
    <n v="30"/>
    <x v="1"/>
    <n v="18"/>
  </r>
  <r>
    <x v="93"/>
    <x v="9"/>
    <x v="6"/>
    <x v="360"/>
    <x v="0"/>
    <x v="665"/>
    <x v="1"/>
    <x v="1"/>
    <x v="3"/>
    <s v="CAPEX"/>
    <s v="Retainer"/>
    <x v="2"/>
    <n v="90"/>
    <x v="2"/>
    <n v="19"/>
  </r>
  <r>
    <x v="282"/>
    <x v="6"/>
    <x v="9"/>
    <x v="181"/>
    <x v="0"/>
    <x v="666"/>
    <x v="1"/>
    <x v="1"/>
    <x v="5"/>
    <s v="CAPEX"/>
    <s v="Variable"/>
    <x v="0"/>
    <n v="90"/>
    <x v="2"/>
    <n v="5"/>
  </r>
  <r>
    <x v="310"/>
    <x v="11"/>
    <x v="8"/>
    <x v="326"/>
    <x v="0"/>
    <x v="667"/>
    <x v="1"/>
    <x v="0"/>
    <x v="0"/>
    <s v="OPEX"/>
    <s v="Retainer"/>
    <x v="1"/>
    <n v="30"/>
    <x v="2"/>
    <n v="12"/>
  </r>
  <r>
    <x v="289"/>
    <x v="8"/>
    <x v="8"/>
    <x v="361"/>
    <x v="2"/>
    <x v="668"/>
    <x v="0"/>
    <x v="0"/>
    <x v="3"/>
    <s v="CAPEX"/>
    <s v="Variable"/>
    <x v="2"/>
    <n v="30"/>
    <x v="1"/>
    <n v="5"/>
  </r>
  <r>
    <x v="242"/>
    <x v="6"/>
    <x v="5"/>
    <x v="339"/>
    <x v="2"/>
    <x v="669"/>
    <x v="1"/>
    <x v="1"/>
    <x v="2"/>
    <s v="CAPEX"/>
    <s v="Fixed"/>
    <x v="3"/>
    <n v="30"/>
    <x v="1"/>
    <n v="6"/>
  </r>
  <r>
    <x v="177"/>
    <x v="3"/>
    <x v="4"/>
    <x v="18"/>
    <x v="0"/>
    <x v="670"/>
    <x v="0"/>
    <x v="0"/>
    <x v="2"/>
    <s v="CAPEX"/>
    <s v="Variable"/>
    <x v="3"/>
    <n v="30"/>
    <x v="1"/>
    <n v="5"/>
  </r>
  <r>
    <x v="74"/>
    <x v="7"/>
    <x v="3"/>
    <x v="69"/>
    <x v="0"/>
    <x v="671"/>
    <x v="0"/>
    <x v="0"/>
    <x v="5"/>
    <s v="OPEX"/>
    <s v="Retainer"/>
    <x v="1"/>
    <n v="90"/>
    <x v="2"/>
    <n v="9"/>
  </r>
  <r>
    <x v="94"/>
    <x v="3"/>
    <x v="7"/>
    <x v="264"/>
    <x v="1"/>
    <x v="672"/>
    <x v="0"/>
    <x v="0"/>
    <x v="1"/>
    <s v="CAPEX"/>
    <s v="Retainer"/>
    <x v="4"/>
    <n v="90"/>
    <x v="2"/>
    <n v="4"/>
  </r>
  <r>
    <x v="111"/>
    <x v="6"/>
    <x v="1"/>
    <x v="190"/>
    <x v="1"/>
    <x v="673"/>
    <x v="0"/>
    <x v="0"/>
    <x v="2"/>
    <s v="OPEX"/>
    <s v="Fixed"/>
    <x v="4"/>
    <n v="45"/>
    <x v="2"/>
    <n v="8"/>
  </r>
  <r>
    <x v="80"/>
    <x v="10"/>
    <x v="2"/>
    <x v="362"/>
    <x v="2"/>
    <x v="674"/>
    <x v="1"/>
    <x v="0"/>
    <x v="0"/>
    <s v="CAPEX"/>
    <s v="Retainer"/>
    <x v="1"/>
    <n v="30"/>
    <x v="1"/>
    <n v="19"/>
  </r>
  <r>
    <x v="311"/>
    <x v="2"/>
    <x v="1"/>
    <x v="215"/>
    <x v="1"/>
    <x v="675"/>
    <x v="1"/>
    <x v="1"/>
    <x v="5"/>
    <s v="OPEX"/>
    <s v="Fixed"/>
    <x v="0"/>
    <n v="30"/>
    <x v="2"/>
    <n v="19"/>
  </r>
  <r>
    <x v="3"/>
    <x v="10"/>
    <x v="2"/>
    <x v="215"/>
    <x v="0"/>
    <x v="676"/>
    <x v="0"/>
    <x v="0"/>
    <x v="2"/>
    <s v="OPEX"/>
    <s v="Variable"/>
    <x v="0"/>
    <n v="30"/>
    <x v="1"/>
    <n v="9"/>
  </r>
  <r>
    <x v="109"/>
    <x v="5"/>
    <x v="2"/>
    <x v="242"/>
    <x v="1"/>
    <x v="677"/>
    <x v="1"/>
    <x v="0"/>
    <x v="4"/>
    <s v="OPEX"/>
    <s v="Variable"/>
    <x v="3"/>
    <n v="30"/>
    <x v="2"/>
    <n v="17"/>
  </r>
  <r>
    <x v="21"/>
    <x v="3"/>
    <x v="1"/>
    <x v="224"/>
    <x v="0"/>
    <x v="678"/>
    <x v="1"/>
    <x v="1"/>
    <x v="4"/>
    <s v="OPEX"/>
    <s v="Variable"/>
    <x v="1"/>
    <n v="60"/>
    <x v="1"/>
    <n v="5"/>
  </r>
  <r>
    <x v="5"/>
    <x v="9"/>
    <x v="9"/>
    <x v="130"/>
    <x v="1"/>
    <x v="679"/>
    <x v="1"/>
    <x v="0"/>
    <x v="2"/>
    <s v="CAPEX"/>
    <s v="Fixed"/>
    <x v="0"/>
    <n v="30"/>
    <x v="1"/>
    <n v="3"/>
  </r>
  <r>
    <x v="43"/>
    <x v="11"/>
    <x v="6"/>
    <x v="228"/>
    <x v="0"/>
    <x v="680"/>
    <x v="0"/>
    <x v="1"/>
    <x v="5"/>
    <s v="CAPEX"/>
    <s v="Fixed"/>
    <x v="2"/>
    <n v="45"/>
    <x v="0"/>
    <n v="13"/>
  </r>
  <r>
    <x v="216"/>
    <x v="6"/>
    <x v="4"/>
    <x v="144"/>
    <x v="0"/>
    <x v="681"/>
    <x v="1"/>
    <x v="0"/>
    <x v="3"/>
    <s v="CAPEX"/>
    <s v="Fixed"/>
    <x v="2"/>
    <n v="30"/>
    <x v="2"/>
    <n v="20"/>
  </r>
  <r>
    <x v="98"/>
    <x v="5"/>
    <x v="4"/>
    <x v="274"/>
    <x v="1"/>
    <x v="682"/>
    <x v="0"/>
    <x v="1"/>
    <x v="3"/>
    <s v="OPEX"/>
    <s v="Variable"/>
    <x v="3"/>
    <n v="90"/>
    <x v="2"/>
    <n v="9"/>
  </r>
  <r>
    <x v="17"/>
    <x v="10"/>
    <x v="0"/>
    <x v="17"/>
    <x v="0"/>
    <x v="683"/>
    <x v="1"/>
    <x v="1"/>
    <x v="2"/>
    <s v="CAPEX"/>
    <s v="Retainer"/>
    <x v="1"/>
    <n v="45"/>
    <x v="0"/>
    <n v="18"/>
  </r>
  <r>
    <x v="22"/>
    <x v="0"/>
    <x v="7"/>
    <x v="363"/>
    <x v="0"/>
    <x v="684"/>
    <x v="1"/>
    <x v="1"/>
    <x v="1"/>
    <s v="CAPEX"/>
    <s v="Fixed"/>
    <x v="2"/>
    <n v="30"/>
    <x v="1"/>
    <n v="17"/>
  </r>
  <r>
    <x v="221"/>
    <x v="3"/>
    <x v="9"/>
    <x v="249"/>
    <x v="0"/>
    <x v="685"/>
    <x v="0"/>
    <x v="1"/>
    <x v="5"/>
    <s v="CAPEX"/>
    <s v="Variable"/>
    <x v="4"/>
    <n v="60"/>
    <x v="2"/>
    <n v="3"/>
  </r>
  <r>
    <x v="312"/>
    <x v="8"/>
    <x v="7"/>
    <x v="23"/>
    <x v="0"/>
    <x v="686"/>
    <x v="0"/>
    <x v="1"/>
    <x v="3"/>
    <s v="CAPEX"/>
    <s v="Retainer"/>
    <x v="3"/>
    <n v="90"/>
    <x v="2"/>
    <n v="3"/>
  </r>
  <r>
    <x v="123"/>
    <x v="4"/>
    <x v="4"/>
    <x v="364"/>
    <x v="1"/>
    <x v="687"/>
    <x v="1"/>
    <x v="0"/>
    <x v="5"/>
    <s v="OPEX"/>
    <s v="Retainer"/>
    <x v="3"/>
    <n v="45"/>
    <x v="0"/>
    <n v="16"/>
  </r>
  <r>
    <x v="294"/>
    <x v="9"/>
    <x v="8"/>
    <x v="27"/>
    <x v="0"/>
    <x v="688"/>
    <x v="0"/>
    <x v="0"/>
    <x v="2"/>
    <s v="CAPEX"/>
    <s v="Fixed"/>
    <x v="1"/>
    <n v="60"/>
    <x v="0"/>
    <n v="4"/>
  </r>
  <r>
    <x v="65"/>
    <x v="6"/>
    <x v="5"/>
    <x v="365"/>
    <x v="1"/>
    <x v="689"/>
    <x v="0"/>
    <x v="1"/>
    <x v="5"/>
    <s v="CAPEX"/>
    <s v="Fixed"/>
    <x v="0"/>
    <n v="30"/>
    <x v="2"/>
    <n v="4"/>
  </r>
  <r>
    <x v="189"/>
    <x v="2"/>
    <x v="7"/>
    <x v="366"/>
    <x v="1"/>
    <x v="690"/>
    <x v="1"/>
    <x v="1"/>
    <x v="3"/>
    <s v="OPEX"/>
    <s v="Retainer"/>
    <x v="2"/>
    <n v="45"/>
    <x v="2"/>
    <n v="11"/>
  </r>
  <r>
    <x v="26"/>
    <x v="8"/>
    <x v="4"/>
    <x v="287"/>
    <x v="2"/>
    <x v="691"/>
    <x v="1"/>
    <x v="0"/>
    <x v="2"/>
    <s v="OPEX"/>
    <s v="Retainer"/>
    <x v="1"/>
    <n v="45"/>
    <x v="0"/>
    <n v="12"/>
  </r>
  <r>
    <x v="234"/>
    <x v="8"/>
    <x v="9"/>
    <x v="118"/>
    <x v="1"/>
    <x v="692"/>
    <x v="1"/>
    <x v="0"/>
    <x v="2"/>
    <s v="OPEX"/>
    <s v="Fixed"/>
    <x v="0"/>
    <n v="30"/>
    <x v="1"/>
    <n v="13"/>
  </r>
  <r>
    <x v="201"/>
    <x v="10"/>
    <x v="9"/>
    <x v="354"/>
    <x v="1"/>
    <x v="693"/>
    <x v="0"/>
    <x v="1"/>
    <x v="2"/>
    <s v="CAPEX"/>
    <s v="Retainer"/>
    <x v="1"/>
    <n v="45"/>
    <x v="0"/>
    <n v="14"/>
  </r>
  <r>
    <x v="245"/>
    <x v="0"/>
    <x v="3"/>
    <x v="92"/>
    <x v="0"/>
    <x v="694"/>
    <x v="0"/>
    <x v="0"/>
    <x v="5"/>
    <s v="OPEX"/>
    <s v="Variable"/>
    <x v="3"/>
    <n v="30"/>
    <x v="2"/>
    <n v="16"/>
  </r>
  <r>
    <x v="89"/>
    <x v="4"/>
    <x v="7"/>
    <x v="89"/>
    <x v="0"/>
    <x v="695"/>
    <x v="1"/>
    <x v="0"/>
    <x v="0"/>
    <s v="OPEX"/>
    <s v="Variable"/>
    <x v="1"/>
    <n v="90"/>
    <x v="2"/>
    <n v="18"/>
  </r>
  <r>
    <x v="313"/>
    <x v="5"/>
    <x v="4"/>
    <x v="282"/>
    <x v="2"/>
    <x v="696"/>
    <x v="1"/>
    <x v="1"/>
    <x v="2"/>
    <s v="OPEX"/>
    <s v="Fixed"/>
    <x v="4"/>
    <n v="45"/>
    <x v="2"/>
    <n v="6"/>
  </r>
  <r>
    <x v="158"/>
    <x v="5"/>
    <x v="8"/>
    <x v="310"/>
    <x v="1"/>
    <x v="697"/>
    <x v="0"/>
    <x v="0"/>
    <x v="0"/>
    <s v="CAPEX"/>
    <s v="Retainer"/>
    <x v="1"/>
    <n v="30"/>
    <x v="1"/>
    <n v="10"/>
  </r>
  <r>
    <x v="176"/>
    <x v="4"/>
    <x v="0"/>
    <x v="367"/>
    <x v="2"/>
    <x v="698"/>
    <x v="0"/>
    <x v="1"/>
    <x v="0"/>
    <s v="CAPEX"/>
    <s v="Variable"/>
    <x v="0"/>
    <n v="30"/>
    <x v="0"/>
    <n v="15"/>
  </r>
  <r>
    <x v="146"/>
    <x v="7"/>
    <x v="4"/>
    <x v="247"/>
    <x v="1"/>
    <x v="699"/>
    <x v="0"/>
    <x v="0"/>
    <x v="5"/>
    <s v="OPEX"/>
    <s v="Retainer"/>
    <x v="2"/>
    <n v="30"/>
    <x v="1"/>
    <n v="8"/>
  </r>
  <r>
    <x v="279"/>
    <x v="5"/>
    <x v="4"/>
    <x v="220"/>
    <x v="2"/>
    <x v="700"/>
    <x v="1"/>
    <x v="1"/>
    <x v="4"/>
    <s v="OPEX"/>
    <s v="Variable"/>
    <x v="0"/>
    <n v="60"/>
    <x v="1"/>
    <n v="19"/>
  </r>
  <r>
    <x v="126"/>
    <x v="8"/>
    <x v="5"/>
    <x v="368"/>
    <x v="2"/>
    <x v="701"/>
    <x v="0"/>
    <x v="1"/>
    <x v="3"/>
    <s v="OPEX"/>
    <s v="Fixed"/>
    <x v="2"/>
    <n v="60"/>
    <x v="2"/>
    <n v="5"/>
  </r>
  <r>
    <x v="30"/>
    <x v="0"/>
    <x v="6"/>
    <x v="369"/>
    <x v="2"/>
    <x v="702"/>
    <x v="1"/>
    <x v="0"/>
    <x v="3"/>
    <s v="OPEX"/>
    <s v="Fixed"/>
    <x v="1"/>
    <n v="90"/>
    <x v="2"/>
    <n v="13"/>
  </r>
  <r>
    <x v="269"/>
    <x v="6"/>
    <x v="5"/>
    <x v="283"/>
    <x v="2"/>
    <x v="703"/>
    <x v="0"/>
    <x v="0"/>
    <x v="2"/>
    <s v="OPEX"/>
    <s v="Retainer"/>
    <x v="2"/>
    <n v="60"/>
    <x v="2"/>
    <n v="7"/>
  </r>
  <r>
    <x v="201"/>
    <x v="8"/>
    <x v="8"/>
    <x v="300"/>
    <x v="2"/>
    <x v="704"/>
    <x v="0"/>
    <x v="0"/>
    <x v="4"/>
    <s v="OPEX"/>
    <s v="Variable"/>
    <x v="1"/>
    <n v="60"/>
    <x v="1"/>
    <n v="15"/>
  </r>
  <r>
    <x v="314"/>
    <x v="10"/>
    <x v="5"/>
    <x v="193"/>
    <x v="1"/>
    <x v="705"/>
    <x v="0"/>
    <x v="0"/>
    <x v="0"/>
    <s v="CAPEX"/>
    <s v="Retainer"/>
    <x v="1"/>
    <n v="60"/>
    <x v="2"/>
    <n v="12"/>
  </r>
  <r>
    <x v="315"/>
    <x v="0"/>
    <x v="2"/>
    <x v="370"/>
    <x v="2"/>
    <x v="706"/>
    <x v="1"/>
    <x v="0"/>
    <x v="1"/>
    <s v="CAPEX"/>
    <s v="Variable"/>
    <x v="3"/>
    <n v="30"/>
    <x v="2"/>
    <n v="11"/>
  </r>
  <r>
    <x v="20"/>
    <x v="11"/>
    <x v="3"/>
    <x v="195"/>
    <x v="2"/>
    <x v="707"/>
    <x v="1"/>
    <x v="1"/>
    <x v="3"/>
    <s v="CAPEX"/>
    <s v="Fixed"/>
    <x v="3"/>
    <n v="30"/>
    <x v="0"/>
    <n v="17"/>
  </r>
  <r>
    <x v="71"/>
    <x v="2"/>
    <x v="3"/>
    <x v="371"/>
    <x v="2"/>
    <x v="708"/>
    <x v="1"/>
    <x v="0"/>
    <x v="0"/>
    <s v="OPEX"/>
    <s v="Variable"/>
    <x v="3"/>
    <n v="45"/>
    <x v="1"/>
    <n v="11"/>
  </r>
  <r>
    <x v="65"/>
    <x v="1"/>
    <x v="4"/>
    <x v="175"/>
    <x v="0"/>
    <x v="709"/>
    <x v="1"/>
    <x v="1"/>
    <x v="0"/>
    <s v="OPEX"/>
    <s v="Fixed"/>
    <x v="2"/>
    <n v="30"/>
    <x v="2"/>
    <n v="6"/>
  </r>
  <r>
    <x v="275"/>
    <x v="6"/>
    <x v="3"/>
    <x v="117"/>
    <x v="2"/>
    <x v="710"/>
    <x v="0"/>
    <x v="1"/>
    <x v="2"/>
    <s v="OPEX"/>
    <s v="Fixed"/>
    <x v="3"/>
    <n v="30"/>
    <x v="0"/>
    <n v="15"/>
  </r>
  <r>
    <x v="90"/>
    <x v="7"/>
    <x v="3"/>
    <x v="372"/>
    <x v="0"/>
    <x v="711"/>
    <x v="0"/>
    <x v="0"/>
    <x v="4"/>
    <s v="CAPEX"/>
    <s v="Fixed"/>
    <x v="2"/>
    <n v="90"/>
    <x v="0"/>
    <n v="4"/>
  </r>
  <r>
    <x v="225"/>
    <x v="3"/>
    <x v="7"/>
    <x v="358"/>
    <x v="1"/>
    <x v="712"/>
    <x v="0"/>
    <x v="1"/>
    <x v="5"/>
    <s v="CAPEX"/>
    <s v="Fixed"/>
    <x v="2"/>
    <n v="60"/>
    <x v="1"/>
    <n v="6"/>
  </r>
  <r>
    <x v="316"/>
    <x v="4"/>
    <x v="2"/>
    <x v="137"/>
    <x v="0"/>
    <x v="713"/>
    <x v="0"/>
    <x v="1"/>
    <x v="4"/>
    <s v="CAPEX"/>
    <s v="Retainer"/>
    <x v="4"/>
    <n v="45"/>
    <x v="1"/>
    <n v="12"/>
  </r>
  <r>
    <x v="256"/>
    <x v="0"/>
    <x v="7"/>
    <x v="275"/>
    <x v="1"/>
    <x v="714"/>
    <x v="0"/>
    <x v="0"/>
    <x v="0"/>
    <s v="OPEX"/>
    <s v="Variable"/>
    <x v="1"/>
    <n v="60"/>
    <x v="0"/>
    <n v="8"/>
  </r>
  <r>
    <x v="266"/>
    <x v="1"/>
    <x v="9"/>
    <x v="261"/>
    <x v="1"/>
    <x v="715"/>
    <x v="1"/>
    <x v="1"/>
    <x v="0"/>
    <s v="CAPEX"/>
    <s v="Variable"/>
    <x v="1"/>
    <n v="90"/>
    <x v="0"/>
    <n v="17"/>
  </r>
  <r>
    <x v="120"/>
    <x v="6"/>
    <x v="2"/>
    <x v="65"/>
    <x v="0"/>
    <x v="716"/>
    <x v="0"/>
    <x v="0"/>
    <x v="5"/>
    <s v="OPEX"/>
    <s v="Retainer"/>
    <x v="1"/>
    <n v="45"/>
    <x v="0"/>
    <n v="18"/>
  </r>
  <r>
    <x v="115"/>
    <x v="9"/>
    <x v="8"/>
    <x v="373"/>
    <x v="0"/>
    <x v="717"/>
    <x v="1"/>
    <x v="1"/>
    <x v="2"/>
    <s v="OPEX"/>
    <s v="Retainer"/>
    <x v="3"/>
    <n v="60"/>
    <x v="2"/>
    <n v="8"/>
  </r>
  <r>
    <x v="266"/>
    <x v="8"/>
    <x v="3"/>
    <x v="325"/>
    <x v="2"/>
    <x v="718"/>
    <x v="0"/>
    <x v="1"/>
    <x v="5"/>
    <s v="CAPEX"/>
    <s v="Retainer"/>
    <x v="1"/>
    <n v="45"/>
    <x v="0"/>
    <n v="12"/>
  </r>
  <r>
    <x v="29"/>
    <x v="2"/>
    <x v="6"/>
    <x v="12"/>
    <x v="1"/>
    <x v="719"/>
    <x v="0"/>
    <x v="1"/>
    <x v="2"/>
    <s v="OPEX"/>
    <s v="Variable"/>
    <x v="1"/>
    <n v="45"/>
    <x v="2"/>
    <n v="10"/>
  </r>
  <r>
    <x v="257"/>
    <x v="1"/>
    <x v="8"/>
    <x v="318"/>
    <x v="1"/>
    <x v="720"/>
    <x v="0"/>
    <x v="0"/>
    <x v="2"/>
    <s v="OPEX"/>
    <s v="Variable"/>
    <x v="4"/>
    <n v="90"/>
    <x v="1"/>
    <n v="20"/>
  </r>
  <r>
    <x v="8"/>
    <x v="5"/>
    <x v="4"/>
    <x v="50"/>
    <x v="2"/>
    <x v="721"/>
    <x v="0"/>
    <x v="1"/>
    <x v="0"/>
    <s v="OPEX"/>
    <s v="Variable"/>
    <x v="1"/>
    <n v="45"/>
    <x v="0"/>
    <n v="15"/>
  </r>
  <r>
    <x v="19"/>
    <x v="0"/>
    <x v="5"/>
    <x v="374"/>
    <x v="0"/>
    <x v="722"/>
    <x v="0"/>
    <x v="0"/>
    <x v="5"/>
    <s v="CAPEX"/>
    <s v="Fixed"/>
    <x v="3"/>
    <n v="90"/>
    <x v="1"/>
    <n v="7"/>
  </r>
  <r>
    <x v="166"/>
    <x v="3"/>
    <x v="9"/>
    <x v="177"/>
    <x v="1"/>
    <x v="723"/>
    <x v="0"/>
    <x v="0"/>
    <x v="5"/>
    <s v="CAPEX"/>
    <s v="Variable"/>
    <x v="1"/>
    <n v="60"/>
    <x v="2"/>
    <n v="6"/>
  </r>
  <r>
    <x v="173"/>
    <x v="10"/>
    <x v="4"/>
    <x v="174"/>
    <x v="1"/>
    <x v="724"/>
    <x v="0"/>
    <x v="1"/>
    <x v="5"/>
    <s v="OPEX"/>
    <s v="Variable"/>
    <x v="1"/>
    <n v="30"/>
    <x v="0"/>
    <n v="13"/>
  </r>
  <r>
    <x v="142"/>
    <x v="10"/>
    <x v="0"/>
    <x v="363"/>
    <x v="2"/>
    <x v="725"/>
    <x v="1"/>
    <x v="0"/>
    <x v="5"/>
    <s v="OPEX"/>
    <s v="Retainer"/>
    <x v="0"/>
    <n v="90"/>
    <x v="2"/>
    <n v="8"/>
  </r>
  <r>
    <x v="317"/>
    <x v="4"/>
    <x v="3"/>
    <x v="181"/>
    <x v="1"/>
    <x v="726"/>
    <x v="0"/>
    <x v="1"/>
    <x v="3"/>
    <s v="CAPEX"/>
    <s v="Fixed"/>
    <x v="1"/>
    <n v="30"/>
    <x v="2"/>
    <n v="3"/>
  </r>
  <r>
    <x v="189"/>
    <x v="2"/>
    <x v="2"/>
    <x v="311"/>
    <x v="1"/>
    <x v="727"/>
    <x v="0"/>
    <x v="0"/>
    <x v="0"/>
    <s v="CAPEX"/>
    <s v="Retainer"/>
    <x v="1"/>
    <n v="60"/>
    <x v="2"/>
    <n v="4"/>
  </r>
  <r>
    <x v="57"/>
    <x v="7"/>
    <x v="4"/>
    <x v="313"/>
    <x v="1"/>
    <x v="728"/>
    <x v="1"/>
    <x v="0"/>
    <x v="5"/>
    <s v="CAPEX"/>
    <s v="Variable"/>
    <x v="2"/>
    <n v="60"/>
    <x v="1"/>
    <n v="15"/>
  </r>
  <r>
    <x v="108"/>
    <x v="6"/>
    <x v="3"/>
    <x v="169"/>
    <x v="1"/>
    <x v="729"/>
    <x v="1"/>
    <x v="1"/>
    <x v="5"/>
    <s v="CAPEX"/>
    <s v="Fixed"/>
    <x v="3"/>
    <n v="90"/>
    <x v="2"/>
    <n v="3"/>
  </r>
  <r>
    <x v="88"/>
    <x v="0"/>
    <x v="7"/>
    <x v="19"/>
    <x v="1"/>
    <x v="730"/>
    <x v="0"/>
    <x v="1"/>
    <x v="5"/>
    <s v="OPEX"/>
    <s v="Fixed"/>
    <x v="0"/>
    <n v="30"/>
    <x v="1"/>
    <n v="19"/>
  </r>
  <r>
    <x v="185"/>
    <x v="1"/>
    <x v="5"/>
    <x v="375"/>
    <x v="2"/>
    <x v="731"/>
    <x v="0"/>
    <x v="1"/>
    <x v="2"/>
    <s v="OPEX"/>
    <s v="Fixed"/>
    <x v="1"/>
    <n v="45"/>
    <x v="1"/>
    <n v="10"/>
  </r>
  <r>
    <x v="248"/>
    <x v="10"/>
    <x v="5"/>
    <x v="276"/>
    <x v="0"/>
    <x v="732"/>
    <x v="0"/>
    <x v="0"/>
    <x v="2"/>
    <s v="CAPEX"/>
    <s v="Fixed"/>
    <x v="0"/>
    <n v="60"/>
    <x v="2"/>
    <n v="3"/>
  </r>
  <r>
    <x v="86"/>
    <x v="2"/>
    <x v="3"/>
    <x v="376"/>
    <x v="2"/>
    <x v="733"/>
    <x v="0"/>
    <x v="1"/>
    <x v="2"/>
    <s v="CAPEX"/>
    <s v="Retainer"/>
    <x v="3"/>
    <n v="90"/>
    <x v="0"/>
    <n v="3"/>
  </r>
  <r>
    <x v="299"/>
    <x v="0"/>
    <x v="1"/>
    <x v="175"/>
    <x v="1"/>
    <x v="734"/>
    <x v="1"/>
    <x v="0"/>
    <x v="4"/>
    <s v="OPEX"/>
    <s v="Variable"/>
    <x v="0"/>
    <n v="90"/>
    <x v="0"/>
    <n v="4"/>
  </r>
  <r>
    <x v="49"/>
    <x v="9"/>
    <x v="1"/>
    <x v="263"/>
    <x v="1"/>
    <x v="735"/>
    <x v="1"/>
    <x v="1"/>
    <x v="5"/>
    <s v="CAPEX"/>
    <s v="Variable"/>
    <x v="1"/>
    <n v="30"/>
    <x v="0"/>
    <n v="11"/>
  </r>
  <r>
    <x v="132"/>
    <x v="7"/>
    <x v="3"/>
    <x v="3"/>
    <x v="2"/>
    <x v="736"/>
    <x v="0"/>
    <x v="0"/>
    <x v="3"/>
    <s v="CAPEX"/>
    <s v="Retainer"/>
    <x v="1"/>
    <n v="45"/>
    <x v="2"/>
    <n v="16"/>
  </r>
  <r>
    <x v="318"/>
    <x v="3"/>
    <x v="4"/>
    <x v="377"/>
    <x v="0"/>
    <x v="737"/>
    <x v="1"/>
    <x v="0"/>
    <x v="3"/>
    <s v="CAPEX"/>
    <s v="Retainer"/>
    <x v="1"/>
    <n v="45"/>
    <x v="0"/>
    <n v="3"/>
  </r>
  <r>
    <x v="10"/>
    <x v="3"/>
    <x v="9"/>
    <x v="234"/>
    <x v="0"/>
    <x v="738"/>
    <x v="0"/>
    <x v="1"/>
    <x v="0"/>
    <s v="CAPEX"/>
    <s v="Fixed"/>
    <x v="1"/>
    <n v="30"/>
    <x v="0"/>
    <n v="5"/>
  </r>
  <r>
    <x v="33"/>
    <x v="5"/>
    <x v="1"/>
    <x v="76"/>
    <x v="2"/>
    <x v="739"/>
    <x v="0"/>
    <x v="0"/>
    <x v="3"/>
    <s v="CAPEX"/>
    <s v="Retainer"/>
    <x v="1"/>
    <n v="90"/>
    <x v="2"/>
    <n v="8"/>
  </r>
  <r>
    <x v="260"/>
    <x v="6"/>
    <x v="0"/>
    <x v="57"/>
    <x v="1"/>
    <x v="740"/>
    <x v="0"/>
    <x v="0"/>
    <x v="4"/>
    <s v="CAPEX"/>
    <s v="Variable"/>
    <x v="2"/>
    <n v="60"/>
    <x v="1"/>
    <n v="18"/>
  </r>
  <r>
    <x v="319"/>
    <x v="11"/>
    <x v="1"/>
    <x v="245"/>
    <x v="0"/>
    <x v="741"/>
    <x v="1"/>
    <x v="1"/>
    <x v="3"/>
    <s v="OPEX"/>
    <s v="Fixed"/>
    <x v="2"/>
    <n v="30"/>
    <x v="2"/>
    <n v="16"/>
  </r>
  <r>
    <x v="320"/>
    <x v="11"/>
    <x v="7"/>
    <x v="378"/>
    <x v="1"/>
    <x v="742"/>
    <x v="1"/>
    <x v="0"/>
    <x v="5"/>
    <s v="CAPEX"/>
    <s v="Retainer"/>
    <x v="2"/>
    <n v="45"/>
    <x v="1"/>
    <n v="3"/>
  </r>
  <r>
    <x v="240"/>
    <x v="11"/>
    <x v="4"/>
    <x v="298"/>
    <x v="2"/>
    <x v="743"/>
    <x v="0"/>
    <x v="1"/>
    <x v="2"/>
    <s v="CAPEX"/>
    <s v="Fixed"/>
    <x v="1"/>
    <n v="30"/>
    <x v="2"/>
    <n v="11"/>
  </r>
  <r>
    <x v="206"/>
    <x v="3"/>
    <x v="7"/>
    <x v="11"/>
    <x v="2"/>
    <x v="744"/>
    <x v="1"/>
    <x v="0"/>
    <x v="0"/>
    <s v="CAPEX"/>
    <s v="Retainer"/>
    <x v="2"/>
    <n v="60"/>
    <x v="1"/>
    <n v="12"/>
  </r>
  <r>
    <x v="182"/>
    <x v="6"/>
    <x v="8"/>
    <x v="21"/>
    <x v="1"/>
    <x v="745"/>
    <x v="0"/>
    <x v="1"/>
    <x v="1"/>
    <s v="CAPEX"/>
    <s v="Fixed"/>
    <x v="4"/>
    <n v="60"/>
    <x v="1"/>
    <n v="20"/>
  </r>
  <r>
    <x v="108"/>
    <x v="4"/>
    <x v="6"/>
    <x v="379"/>
    <x v="1"/>
    <x v="746"/>
    <x v="1"/>
    <x v="1"/>
    <x v="0"/>
    <s v="OPEX"/>
    <s v="Fixed"/>
    <x v="3"/>
    <n v="60"/>
    <x v="1"/>
    <n v="13"/>
  </r>
  <r>
    <x v="321"/>
    <x v="10"/>
    <x v="2"/>
    <x v="230"/>
    <x v="1"/>
    <x v="747"/>
    <x v="1"/>
    <x v="0"/>
    <x v="1"/>
    <s v="OPEX"/>
    <s v="Variable"/>
    <x v="1"/>
    <n v="30"/>
    <x v="0"/>
    <n v="18"/>
  </r>
  <r>
    <x v="33"/>
    <x v="1"/>
    <x v="1"/>
    <x v="380"/>
    <x v="1"/>
    <x v="748"/>
    <x v="0"/>
    <x v="1"/>
    <x v="3"/>
    <s v="OPEX"/>
    <s v="Retainer"/>
    <x v="2"/>
    <n v="60"/>
    <x v="1"/>
    <n v="20"/>
  </r>
  <r>
    <x v="203"/>
    <x v="5"/>
    <x v="7"/>
    <x v="275"/>
    <x v="0"/>
    <x v="749"/>
    <x v="0"/>
    <x v="1"/>
    <x v="3"/>
    <s v="OPEX"/>
    <s v="Fixed"/>
    <x v="0"/>
    <n v="60"/>
    <x v="1"/>
    <n v="19"/>
  </r>
  <r>
    <x v="156"/>
    <x v="5"/>
    <x v="9"/>
    <x v="319"/>
    <x v="2"/>
    <x v="750"/>
    <x v="0"/>
    <x v="1"/>
    <x v="1"/>
    <s v="OPEX"/>
    <s v="Variable"/>
    <x v="1"/>
    <n v="90"/>
    <x v="2"/>
    <n v="8"/>
  </r>
  <r>
    <x v="300"/>
    <x v="6"/>
    <x v="8"/>
    <x v="381"/>
    <x v="2"/>
    <x v="751"/>
    <x v="1"/>
    <x v="0"/>
    <x v="0"/>
    <s v="CAPEX"/>
    <s v="Variable"/>
    <x v="0"/>
    <n v="60"/>
    <x v="2"/>
    <n v="14"/>
  </r>
  <r>
    <x v="254"/>
    <x v="1"/>
    <x v="4"/>
    <x v="89"/>
    <x v="0"/>
    <x v="752"/>
    <x v="0"/>
    <x v="1"/>
    <x v="4"/>
    <s v="CAPEX"/>
    <s v="Retainer"/>
    <x v="2"/>
    <n v="90"/>
    <x v="2"/>
    <n v="8"/>
  </r>
  <r>
    <x v="239"/>
    <x v="9"/>
    <x v="1"/>
    <x v="15"/>
    <x v="2"/>
    <x v="753"/>
    <x v="0"/>
    <x v="1"/>
    <x v="4"/>
    <s v="CAPEX"/>
    <s v="Fixed"/>
    <x v="1"/>
    <n v="90"/>
    <x v="2"/>
    <n v="16"/>
  </r>
  <r>
    <x v="322"/>
    <x v="3"/>
    <x v="7"/>
    <x v="382"/>
    <x v="1"/>
    <x v="754"/>
    <x v="1"/>
    <x v="1"/>
    <x v="2"/>
    <s v="OPEX"/>
    <s v="Fixed"/>
    <x v="1"/>
    <n v="45"/>
    <x v="1"/>
    <n v="11"/>
  </r>
  <r>
    <x v="260"/>
    <x v="10"/>
    <x v="6"/>
    <x v="383"/>
    <x v="1"/>
    <x v="755"/>
    <x v="0"/>
    <x v="0"/>
    <x v="2"/>
    <s v="CAPEX"/>
    <s v="Fixed"/>
    <x v="3"/>
    <n v="90"/>
    <x v="2"/>
    <n v="12"/>
  </r>
  <r>
    <x v="63"/>
    <x v="10"/>
    <x v="1"/>
    <x v="42"/>
    <x v="0"/>
    <x v="756"/>
    <x v="0"/>
    <x v="0"/>
    <x v="1"/>
    <s v="CAPEX"/>
    <s v="Retainer"/>
    <x v="0"/>
    <n v="45"/>
    <x v="2"/>
    <n v="13"/>
  </r>
  <r>
    <x v="237"/>
    <x v="5"/>
    <x v="3"/>
    <x v="278"/>
    <x v="0"/>
    <x v="757"/>
    <x v="0"/>
    <x v="0"/>
    <x v="1"/>
    <s v="CAPEX"/>
    <s v="Retainer"/>
    <x v="3"/>
    <n v="30"/>
    <x v="2"/>
    <n v="17"/>
  </r>
  <r>
    <x v="283"/>
    <x v="9"/>
    <x v="0"/>
    <x v="384"/>
    <x v="1"/>
    <x v="758"/>
    <x v="0"/>
    <x v="0"/>
    <x v="4"/>
    <s v="OPEX"/>
    <s v="Variable"/>
    <x v="0"/>
    <n v="30"/>
    <x v="0"/>
    <n v="4"/>
  </r>
  <r>
    <x v="260"/>
    <x v="10"/>
    <x v="8"/>
    <x v="345"/>
    <x v="2"/>
    <x v="759"/>
    <x v="0"/>
    <x v="0"/>
    <x v="5"/>
    <s v="OPEX"/>
    <s v="Variable"/>
    <x v="2"/>
    <n v="60"/>
    <x v="2"/>
    <n v="10"/>
  </r>
  <r>
    <x v="238"/>
    <x v="7"/>
    <x v="8"/>
    <x v="368"/>
    <x v="2"/>
    <x v="760"/>
    <x v="0"/>
    <x v="0"/>
    <x v="3"/>
    <s v="CAPEX"/>
    <s v="Fixed"/>
    <x v="2"/>
    <n v="30"/>
    <x v="2"/>
    <n v="12"/>
  </r>
  <r>
    <x v="323"/>
    <x v="3"/>
    <x v="2"/>
    <x v="385"/>
    <x v="1"/>
    <x v="761"/>
    <x v="0"/>
    <x v="0"/>
    <x v="4"/>
    <s v="OPEX"/>
    <s v="Fixed"/>
    <x v="1"/>
    <n v="90"/>
    <x v="0"/>
    <n v="5"/>
  </r>
  <r>
    <x v="243"/>
    <x v="2"/>
    <x v="6"/>
    <x v="386"/>
    <x v="2"/>
    <x v="762"/>
    <x v="0"/>
    <x v="0"/>
    <x v="1"/>
    <s v="CAPEX"/>
    <s v="Fixed"/>
    <x v="3"/>
    <n v="90"/>
    <x v="1"/>
    <n v="8"/>
  </r>
  <r>
    <x v="317"/>
    <x v="9"/>
    <x v="3"/>
    <x v="387"/>
    <x v="1"/>
    <x v="763"/>
    <x v="1"/>
    <x v="0"/>
    <x v="3"/>
    <s v="OPEX"/>
    <s v="Variable"/>
    <x v="3"/>
    <n v="60"/>
    <x v="0"/>
    <n v="15"/>
  </r>
  <r>
    <x v="290"/>
    <x v="11"/>
    <x v="8"/>
    <x v="231"/>
    <x v="0"/>
    <x v="764"/>
    <x v="1"/>
    <x v="0"/>
    <x v="2"/>
    <s v="OPEX"/>
    <s v="Variable"/>
    <x v="3"/>
    <n v="30"/>
    <x v="1"/>
    <n v="20"/>
  </r>
  <r>
    <x v="228"/>
    <x v="7"/>
    <x v="6"/>
    <x v="297"/>
    <x v="0"/>
    <x v="765"/>
    <x v="0"/>
    <x v="1"/>
    <x v="2"/>
    <s v="OPEX"/>
    <s v="Fixed"/>
    <x v="1"/>
    <n v="60"/>
    <x v="2"/>
    <n v="11"/>
  </r>
  <r>
    <x v="272"/>
    <x v="0"/>
    <x v="3"/>
    <x v="171"/>
    <x v="2"/>
    <x v="766"/>
    <x v="1"/>
    <x v="0"/>
    <x v="2"/>
    <s v="OPEX"/>
    <s v="Fixed"/>
    <x v="2"/>
    <n v="90"/>
    <x v="2"/>
    <n v="16"/>
  </r>
  <r>
    <x v="152"/>
    <x v="5"/>
    <x v="8"/>
    <x v="321"/>
    <x v="2"/>
    <x v="767"/>
    <x v="1"/>
    <x v="0"/>
    <x v="1"/>
    <s v="OPEX"/>
    <s v="Variable"/>
    <x v="3"/>
    <n v="30"/>
    <x v="2"/>
    <n v="19"/>
  </r>
  <r>
    <x v="83"/>
    <x v="1"/>
    <x v="5"/>
    <x v="28"/>
    <x v="0"/>
    <x v="768"/>
    <x v="0"/>
    <x v="0"/>
    <x v="1"/>
    <s v="CAPEX"/>
    <s v="Fixed"/>
    <x v="2"/>
    <n v="30"/>
    <x v="1"/>
    <n v="20"/>
  </r>
  <r>
    <x v="96"/>
    <x v="2"/>
    <x v="3"/>
    <x v="18"/>
    <x v="0"/>
    <x v="769"/>
    <x v="1"/>
    <x v="0"/>
    <x v="0"/>
    <s v="CAPEX"/>
    <s v="Variable"/>
    <x v="0"/>
    <n v="60"/>
    <x v="0"/>
    <n v="8"/>
  </r>
  <r>
    <x v="324"/>
    <x v="0"/>
    <x v="5"/>
    <x v="388"/>
    <x v="1"/>
    <x v="770"/>
    <x v="0"/>
    <x v="0"/>
    <x v="5"/>
    <s v="OPEX"/>
    <s v="Retainer"/>
    <x v="3"/>
    <n v="30"/>
    <x v="2"/>
    <n v="16"/>
  </r>
  <r>
    <x v="92"/>
    <x v="7"/>
    <x v="0"/>
    <x v="389"/>
    <x v="2"/>
    <x v="771"/>
    <x v="1"/>
    <x v="0"/>
    <x v="5"/>
    <s v="CAPEX"/>
    <s v="Retainer"/>
    <x v="4"/>
    <n v="60"/>
    <x v="1"/>
    <n v="10"/>
  </r>
  <r>
    <x v="90"/>
    <x v="3"/>
    <x v="8"/>
    <x v="43"/>
    <x v="2"/>
    <x v="772"/>
    <x v="0"/>
    <x v="1"/>
    <x v="2"/>
    <s v="OPEX"/>
    <s v="Retainer"/>
    <x v="0"/>
    <n v="60"/>
    <x v="2"/>
    <n v="14"/>
  </r>
  <r>
    <x v="273"/>
    <x v="10"/>
    <x v="9"/>
    <x v="390"/>
    <x v="1"/>
    <x v="773"/>
    <x v="1"/>
    <x v="0"/>
    <x v="1"/>
    <s v="CAPEX"/>
    <s v="Retainer"/>
    <x v="3"/>
    <n v="45"/>
    <x v="1"/>
    <n v="4"/>
  </r>
  <r>
    <x v="186"/>
    <x v="10"/>
    <x v="9"/>
    <x v="87"/>
    <x v="2"/>
    <x v="774"/>
    <x v="0"/>
    <x v="1"/>
    <x v="1"/>
    <s v="OPEX"/>
    <s v="Variable"/>
    <x v="1"/>
    <n v="45"/>
    <x v="0"/>
    <n v="3"/>
  </r>
  <r>
    <x v="325"/>
    <x v="10"/>
    <x v="6"/>
    <x v="84"/>
    <x v="2"/>
    <x v="775"/>
    <x v="1"/>
    <x v="0"/>
    <x v="2"/>
    <s v="OPEX"/>
    <s v="Variable"/>
    <x v="0"/>
    <n v="30"/>
    <x v="0"/>
    <n v="15"/>
  </r>
  <r>
    <x v="46"/>
    <x v="1"/>
    <x v="3"/>
    <x v="263"/>
    <x v="2"/>
    <x v="776"/>
    <x v="1"/>
    <x v="1"/>
    <x v="0"/>
    <s v="OPEX"/>
    <s v="Retainer"/>
    <x v="0"/>
    <n v="60"/>
    <x v="0"/>
    <n v="11"/>
  </r>
  <r>
    <x v="161"/>
    <x v="11"/>
    <x v="4"/>
    <x v="115"/>
    <x v="1"/>
    <x v="777"/>
    <x v="1"/>
    <x v="0"/>
    <x v="0"/>
    <s v="CAPEX"/>
    <s v="Variable"/>
    <x v="0"/>
    <n v="90"/>
    <x v="1"/>
    <n v="4"/>
  </r>
  <r>
    <x v="193"/>
    <x v="1"/>
    <x v="6"/>
    <x v="52"/>
    <x v="0"/>
    <x v="778"/>
    <x v="0"/>
    <x v="0"/>
    <x v="3"/>
    <s v="OPEX"/>
    <s v="Retainer"/>
    <x v="1"/>
    <n v="90"/>
    <x v="0"/>
    <n v="18"/>
  </r>
  <r>
    <x v="326"/>
    <x v="4"/>
    <x v="5"/>
    <x v="303"/>
    <x v="1"/>
    <x v="779"/>
    <x v="1"/>
    <x v="0"/>
    <x v="5"/>
    <s v="CAPEX"/>
    <s v="Variable"/>
    <x v="2"/>
    <n v="60"/>
    <x v="1"/>
    <n v="16"/>
  </r>
  <r>
    <x v="8"/>
    <x v="5"/>
    <x v="1"/>
    <x v="281"/>
    <x v="1"/>
    <x v="780"/>
    <x v="1"/>
    <x v="1"/>
    <x v="1"/>
    <s v="CAPEX"/>
    <s v="Fixed"/>
    <x v="1"/>
    <n v="90"/>
    <x v="0"/>
    <n v="15"/>
  </r>
  <r>
    <x v="92"/>
    <x v="7"/>
    <x v="3"/>
    <x v="333"/>
    <x v="1"/>
    <x v="781"/>
    <x v="0"/>
    <x v="1"/>
    <x v="0"/>
    <s v="CAPEX"/>
    <s v="Fixed"/>
    <x v="1"/>
    <n v="45"/>
    <x v="2"/>
    <n v="6"/>
  </r>
  <r>
    <x v="193"/>
    <x v="1"/>
    <x v="7"/>
    <x v="228"/>
    <x v="2"/>
    <x v="782"/>
    <x v="1"/>
    <x v="1"/>
    <x v="4"/>
    <s v="CAPEX"/>
    <s v="Variable"/>
    <x v="3"/>
    <n v="90"/>
    <x v="0"/>
    <n v="17"/>
  </r>
  <r>
    <x v="327"/>
    <x v="5"/>
    <x v="6"/>
    <x v="132"/>
    <x v="0"/>
    <x v="783"/>
    <x v="1"/>
    <x v="1"/>
    <x v="3"/>
    <s v="CAPEX"/>
    <s v="Retainer"/>
    <x v="3"/>
    <n v="90"/>
    <x v="0"/>
    <n v="7"/>
  </r>
  <r>
    <x v="328"/>
    <x v="2"/>
    <x v="8"/>
    <x v="123"/>
    <x v="2"/>
    <x v="784"/>
    <x v="0"/>
    <x v="1"/>
    <x v="4"/>
    <s v="OPEX"/>
    <s v="Retainer"/>
    <x v="3"/>
    <n v="60"/>
    <x v="2"/>
    <n v="13"/>
  </r>
  <r>
    <x v="329"/>
    <x v="6"/>
    <x v="9"/>
    <x v="391"/>
    <x v="0"/>
    <x v="785"/>
    <x v="1"/>
    <x v="1"/>
    <x v="4"/>
    <s v="OPEX"/>
    <s v="Variable"/>
    <x v="3"/>
    <n v="45"/>
    <x v="1"/>
    <n v="16"/>
  </r>
  <r>
    <x v="251"/>
    <x v="10"/>
    <x v="3"/>
    <x v="38"/>
    <x v="1"/>
    <x v="786"/>
    <x v="0"/>
    <x v="0"/>
    <x v="3"/>
    <s v="OPEX"/>
    <s v="Retainer"/>
    <x v="2"/>
    <n v="90"/>
    <x v="0"/>
    <n v="16"/>
  </r>
  <r>
    <x v="6"/>
    <x v="5"/>
    <x v="0"/>
    <x v="113"/>
    <x v="2"/>
    <x v="787"/>
    <x v="0"/>
    <x v="1"/>
    <x v="5"/>
    <s v="OPEX"/>
    <s v="Retainer"/>
    <x v="1"/>
    <n v="30"/>
    <x v="0"/>
    <n v="20"/>
  </r>
  <r>
    <x v="315"/>
    <x v="11"/>
    <x v="7"/>
    <x v="214"/>
    <x v="1"/>
    <x v="788"/>
    <x v="1"/>
    <x v="0"/>
    <x v="2"/>
    <s v="CAPEX"/>
    <s v="Retainer"/>
    <x v="0"/>
    <n v="60"/>
    <x v="2"/>
    <n v="13"/>
  </r>
  <r>
    <x v="291"/>
    <x v="5"/>
    <x v="1"/>
    <x v="53"/>
    <x v="1"/>
    <x v="789"/>
    <x v="1"/>
    <x v="1"/>
    <x v="2"/>
    <s v="OPEX"/>
    <s v="Fixed"/>
    <x v="2"/>
    <n v="45"/>
    <x v="2"/>
    <n v="7"/>
  </r>
  <r>
    <x v="330"/>
    <x v="4"/>
    <x v="5"/>
    <x v="392"/>
    <x v="1"/>
    <x v="790"/>
    <x v="0"/>
    <x v="0"/>
    <x v="2"/>
    <s v="OPEX"/>
    <s v="Fixed"/>
    <x v="0"/>
    <n v="90"/>
    <x v="0"/>
    <n v="13"/>
  </r>
  <r>
    <x v="58"/>
    <x v="0"/>
    <x v="6"/>
    <x v="393"/>
    <x v="0"/>
    <x v="791"/>
    <x v="1"/>
    <x v="0"/>
    <x v="5"/>
    <s v="CAPEX"/>
    <s v="Retainer"/>
    <x v="3"/>
    <n v="30"/>
    <x v="0"/>
    <n v="14"/>
  </r>
  <r>
    <x v="214"/>
    <x v="1"/>
    <x v="3"/>
    <x v="140"/>
    <x v="2"/>
    <x v="792"/>
    <x v="0"/>
    <x v="1"/>
    <x v="5"/>
    <s v="OPEX"/>
    <s v="Retainer"/>
    <x v="0"/>
    <n v="30"/>
    <x v="2"/>
    <n v="14"/>
  </r>
  <r>
    <x v="227"/>
    <x v="3"/>
    <x v="5"/>
    <x v="389"/>
    <x v="2"/>
    <x v="793"/>
    <x v="1"/>
    <x v="0"/>
    <x v="2"/>
    <s v="OPEX"/>
    <s v="Fixed"/>
    <x v="1"/>
    <n v="30"/>
    <x v="1"/>
    <n v="20"/>
  </r>
  <r>
    <x v="8"/>
    <x v="4"/>
    <x v="4"/>
    <x v="163"/>
    <x v="0"/>
    <x v="794"/>
    <x v="0"/>
    <x v="1"/>
    <x v="4"/>
    <s v="CAPEX"/>
    <s v="Retainer"/>
    <x v="1"/>
    <n v="45"/>
    <x v="1"/>
    <n v="18"/>
  </r>
  <r>
    <x v="235"/>
    <x v="3"/>
    <x v="1"/>
    <x v="231"/>
    <x v="1"/>
    <x v="795"/>
    <x v="0"/>
    <x v="1"/>
    <x v="1"/>
    <s v="CAPEX"/>
    <s v="Retainer"/>
    <x v="1"/>
    <n v="90"/>
    <x v="0"/>
    <n v="16"/>
  </r>
  <r>
    <x v="208"/>
    <x v="0"/>
    <x v="6"/>
    <x v="388"/>
    <x v="2"/>
    <x v="796"/>
    <x v="1"/>
    <x v="0"/>
    <x v="2"/>
    <s v="OPEX"/>
    <s v="Variable"/>
    <x v="3"/>
    <n v="30"/>
    <x v="0"/>
    <n v="9"/>
  </r>
  <r>
    <x v="55"/>
    <x v="8"/>
    <x v="4"/>
    <x v="394"/>
    <x v="1"/>
    <x v="797"/>
    <x v="0"/>
    <x v="0"/>
    <x v="4"/>
    <s v="CAPEX"/>
    <s v="Variable"/>
    <x v="1"/>
    <n v="60"/>
    <x v="2"/>
    <n v="16"/>
  </r>
  <r>
    <x v="292"/>
    <x v="8"/>
    <x v="2"/>
    <x v="395"/>
    <x v="0"/>
    <x v="798"/>
    <x v="0"/>
    <x v="0"/>
    <x v="1"/>
    <s v="OPEX"/>
    <s v="Variable"/>
    <x v="3"/>
    <n v="60"/>
    <x v="0"/>
    <n v="14"/>
  </r>
  <r>
    <x v="92"/>
    <x v="5"/>
    <x v="9"/>
    <x v="331"/>
    <x v="1"/>
    <x v="799"/>
    <x v="0"/>
    <x v="0"/>
    <x v="5"/>
    <s v="OPEX"/>
    <s v="Retainer"/>
    <x v="0"/>
    <n v="30"/>
    <x v="1"/>
    <n v="20"/>
  </r>
  <r>
    <x v="331"/>
    <x v="3"/>
    <x v="6"/>
    <x v="183"/>
    <x v="2"/>
    <x v="800"/>
    <x v="1"/>
    <x v="0"/>
    <x v="5"/>
    <s v="CAPEX"/>
    <s v="Variable"/>
    <x v="3"/>
    <n v="60"/>
    <x v="2"/>
    <n v="14"/>
  </r>
  <r>
    <x v="212"/>
    <x v="8"/>
    <x v="8"/>
    <x v="231"/>
    <x v="0"/>
    <x v="801"/>
    <x v="1"/>
    <x v="0"/>
    <x v="0"/>
    <s v="OPEX"/>
    <s v="Variable"/>
    <x v="0"/>
    <n v="45"/>
    <x v="2"/>
    <n v="12"/>
  </r>
  <r>
    <x v="303"/>
    <x v="5"/>
    <x v="9"/>
    <x v="275"/>
    <x v="2"/>
    <x v="802"/>
    <x v="0"/>
    <x v="0"/>
    <x v="1"/>
    <s v="OPEX"/>
    <s v="Variable"/>
    <x v="3"/>
    <n v="60"/>
    <x v="1"/>
    <n v="3"/>
  </r>
  <r>
    <x v="134"/>
    <x v="8"/>
    <x v="6"/>
    <x v="171"/>
    <x v="1"/>
    <x v="803"/>
    <x v="1"/>
    <x v="1"/>
    <x v="3"/>
    <s v="OPEX"/>
    <s v="Retainer"/>
    <x v="1"/>
    <n v="45"/>
    <x v="0"/>
    <n v="5"/>
  </r>
  <r>
    <x v="320"/>
    <x v="10"/>
    <x v="5"/>
    <x v="302"/>
    <x v="2"/>
    <x v="804"/>
    <x v="0"/>
    <x v="0"/>
    <x v="5"/>
    <s v="OPEX"/>
    <s v="Retainer"/>
    <x v="2"/>
    <n v="30"/>
    <x v="2"/>
    <n v="20"/>
  </r>
  <r>
    <x v="202"/>
    <x v="9"/>
    <x v="5"/>
    <x v="17"/>
    <x v="0"/>
    <x v="805"/>
    <x v="1"/>
    <x v="0"/>
    <x v="3"/>
    <s v="OPEX"/>
    <s v="Variable"/>
    <x v="1"/>
    <n v="90"/>
    <x v="2"/>
    <n v="17"/>
  </r>
  <r>
    <x v="7"/>
    <x v="6"/>
    <x v="8"/>
    <x v="396"/>
    <x v="1"/>
    <x v="806"/>
    <x v="0"/>
    <x v="1"/>
    <x v="5"/>
    <s v="OPEX"/>
    <s v="Variable"/>
    <x v="4"/>
    <n v="45"/>
    <x v="0"/>
    <n v="8"/>
  </r>
  <r>
    <x v="229"/>
    <x v="3"/>
    <x v="8"/>
    <x v="166"/>
    <x v="0"/>
    <x v="807"/>
    <x v="1"/>
    <x v="0"/>
    <x v="0"/>
    <s v="CAPEX"/>
    <s v="Variable"/>
    <x v="1"/>
    <n v="90"/>
    <x v="0"/>
    <n v="14"/>
  </r>
  <r>
    <x v="77"/>
    <x v="5"/>
    <x v="0"/>
    <x v="316"/>
    <x v="2"/>
    <x v="808"/>
    <x v="1"/>
    <x v="0"/>
    <x v="0"/>
    <s v="CAPEX"/>
    <s v="Retainer"/>
    <x v="2"/>
    <n v="45"/>
    <x v="0"/>
    <n v="14"/>
  </r>
  <r>
    <x v="265"/>
    <x v="3"/>
    <x v="7"/>
    <x v="13"/>
    <x v="2"/>
    <x v="809"/>
    <x v="0"/>
    <x v="1"/>
    <x v="1"/>
    <s v="CAPEX"/>
    <s v="Retainer"/>
    <x v="1"/>
    <n v="30"/>
    <x v="0"/>
    <n v="10"/>
  </r>
  <r>
    <x v="165"/>
    <x v="9"/>
    <x v="9"/>
    <x v="397"/>
    <x v="1"/>
    <x v="810"/>
    <x v="0"/>
    <x v="0"/>
    <x v="3"/>
    <s v="CAPEX"/>
    <s v="Variable"/>
    <x v="0"/>
    <n v="30"/>
    <x v="0"/>
    <n v="18"/>
  </r>
  <r>
    <x v="192"/>
    <x v="9"/>
    <x v="5"/>
    <x v="115"/>
    <x v="0"/>
    <x v="811"/>
    <x v="1"/>
    <x v="0"/>
    <x v="1"/>
    <s v="CAPEX"/>
    <s v="Fixed"/>
    <x v="1"/>
    <n v="30"/>
    <x v="2"/>
    <n v="19"/>
  </r>
  <r>
    <x v="240"/>
    <x v="8"/>
    <x v="4"/>
    <x v="98"/>
    <x v="0"/>
    <x v="812"/>
    <x v="1"/>
    <x v="0"/>
    <x v="4"/>
    <s v="OPEX"/>
    <s v="Fixed"/>
    <x v="0"/>
    <n v="90"/>
    <x v="0"/>
    <n v="7"/>
  </r>
  <r>
    <x v="96"/>
    <x v="9"/>
    <x v="3"/>
    <x v="146"/>
    <x v="2"/>
    <x v="813"/>
    <x v="1"/>
    <x v="1"/>
    <x v="0"/>
    <s v="OPEX"/>
    <s v="Retainer"/>
    <x v="2"/>
    <n v="90"/>
    <x v="1"/>
    <n v="11"/>
  </r>
  <r>
    <x v="68"/>
    <x v="4"/>
    <x v="2"/>
    <x v="86"/>
    <x v="2"/>
    <x v="814"/>
    <x v="0"/>
    <x v="1"/>
    <x v="1"/>
    <s v="CAPEX"/>
    <s v="Retainer"/>
    <x v="1"/>
    <n v="90"/>
    <x v="2"/>
    <n v="6"/>
  </r>
  <r>
    <x v="224"/>
    <x v="7"/>
    <x v="3"/>
    <x v="398"/>
    <x v="2"/>
    <x v="815"/>
    <x v="1"/>
    <x v="0"/>
    <x v="2"/>
    <s v="OPEX"/>
    <s v="Fixed"/>
    <x v="1"/>
    <n v="30"/>
    <x v="0"/>
    <n v="13"/>
  </r>
  <r>
    <x v="129"/>
    <x v="5"/>
    <x v="6"/>
    <x v="173"/>
    <x v="2"/>
    <x v="816"/>
    <x v="1"/>
    <x v="0"/>
    <x v="0"/>
    <s v="CAPEX"/>
    <s v="Retainer"/>
    <x v="1"/>
    <n v="60"/>
    <x v="2"/>
    <n v="7"/>
  </r>
  <r>
    <x v="164"/>
    <x v="11"/>
    <x v="9"/>
    <x v="394"/>
    <x v="2"/>
    <x v="817"/>
    <x v="0"/>
    <x v="1"/>
    <x v="4"/>
    <s v="OPEX"/>
    <s v="Retainer"/>
    <x v="0"/>
    <n v="90"/>
    <x v="1"/>
    <n v="13"/>
  </r>
  <r>
    <x v="215"/>
    <x v="1"/>
    <x v="4"/>
    <x v="399"/>
    <x v="2"/>
    <x v="818"/>
    <x v="0"/>
    <x v="1"/>
    <x v="0"/>
    <s v="OPEX"/>
    <s v="Fixed"/>
    <x v="2"/>
    <n v="60"/>
    <x v="0"/>
    <n v="6"/>
  </r>
  <r>
    <x v="296"/>
    <x v="4"/>
    <x v="3"/>
    <x v="31"/>
    <x v="2"/>
    <x v="819"/>
    <x v="0"/>
    <x v="1"/>
    <x v="2"/>
    <s v="CAPEX"/>
    <s v="Retainer"/>
    <x v="4"/>
    <n v="30"/>
    <x v="0"/>
    <n v="8"/>
  </r>
  <r>
    <x v="332"/>
    <x v="8"/>
    <x v="1"/>
    <x v="259"/>
    <x v="2"/>
    <x v="820"/>
    <x v="1"/>
    <x v="0"/>
    <x v="3"/>
    <s v="CAPEX"/>
    <s v="Retainer"/>
    <x v="1"/>
    <n v="90"/>
    <x v="1"/>
    <n v="19"/>
  </r>
  <r>
    <x v="102"/>
    <x v="10"/>
    <x v="0"/>
    <x v="36"/>
    <x v="1"/>
    <x v="821"/>
    <x v="0"/>
    <x v="0"/>
    <x v="1"/>
    <s v="OPEX"/>
    <s v="Variable"/>
    <x v="3"/>
    <n v="60"/>
    <x v="0"/>
    <n v="15"/>
  </r>
  <r>
    <x v="171"/>
    <x v="1"/>
    <x v="0"/>
    <x v="400"/>
    <x v="1"/>
    <x v="822"/>
    <x v="1"/>
    <x v="1"/>
    <x v="5"/>
    <s v="CAPEX"/>
    <s v="Variable"/>
    <x v="1"/>
    <n v="90"/>
    <x v="0"/>
    <n v="3"/>
  </r>
  <r>
    <x v="182"/>
    <x v="9"/>
    <x v="8"/>
    <x v="198"/>
    <x v="2"/>
    <x v="823"/>
    <x v="0"/>
    <x v="1"/>
    <x v="3"/>
    <s v="CAPEX"/>
    <s v="Retainer"/>
    <x v="1"/>
    <n v="60"/>
    <x v="2"/>
    <n v="17"/>
  </r>
  <r>
    <x v="71"/>
    <x v="4"/>
    <x v="3"/>
    <x v="165"/>
    <x v="1"/>
    <x v="824"/>
    <x v="1"/>
    <x v="1"/>
    <x v="2"/>
    <s v="CAPEX"/>
    <s v="Fixed"/>
    <x v="1"/>
    <n v="30"/>
    <x v="0"/>
    <n v="10"/>
  </r>
  <r>
    <x v="181"/>
    <x v="0"/>
    <x v="5"/>
    <x v="143"/>
    <x v="1"/>
    <x v="825"/>
    <x v="1"/>
    <x v="1"/>
    <x v="5"/>
    <s v="CAPEX"/>
    <s v="Variable"/>
    <x v="0"/>
    <n v="45"/>
    <x v="0"/>
    <n v="13"/>
  </r>
  <r>
    <x v="125"/>
    <x v="11"/>
    <x v="6"/>
    <x v="282"/>
    <x v="0"/>
    <x v="826"/>
    <x v="0"/>
    <x v="1"/>
    <x v="4"/>
    <s v="CAPEX"/>
    <s v="Fixed"/>
    <x v="1"/>
    <n v="45"/>
    <x v="0"/>
    <n v="17"/>
  </r>
  <r>
    <x v="179"/>
    <x v="8"/>
    <x v="4"/>
    <x v="358"/>
    <x v="1"/>
    <x v="827"/>
    <x v="0"/>
    <x v="0"/>
    <x v="4"/>
    <s v="OPEX"/>
    <s v="Variable"/>
    <x v="1"/>
    <n v="90"/>
    <x v="0"/>
    <n v="20"/>
  </r>
  <r>
    <x v="285"/>
    <x v="8"/>
    <x v="9"/>
    <x v="135"/>
    <x v="2"/>
    <x v="828"/>
    <x v="1"/>
    <x v="0"/>
    <x v="3"/>
    <s v="OPEX"/>
    <s v="Retainer"/>
    <x v="3"/>
    <n v="45"/>
    <x v="2"/>
    <n v="14"/>
  </r>
  <r>
    <x v="135"/>
    <x v="2"/>
    <x v="4"/>
    <x v="353"/>
    <x v="0"/>
    <x v="829"/>
    <x v="1"/>
    <x v="0"/>
    <x v="2"/>
    <s v="OPEX"/>
    <s v="Variable"/>
    <x v="3"/>
    <n v="90"/>
    <x v="2"/>
    <n v="16"/>
  </r>
  <r>
    <x v="98"/>
    <x v="1"/>
    <x v="5"/>
    <x v="132"/>
    <x v="0"/>
    <x v="830"/>
    <x v="0"/>
    <x v="0"/>
    <x v="0"/>
    <s v="CAPEX"/>
    <s v="Variable"/>
    <x v="0"/>
    <n v="60"/>
    <x v="0"/>
    <n v="14"/>
  </r>
  <r>
    <x v="216"/>
    <x v="2"/>
    <x v="7"/>
    <x v="264"/>
    <x v="2"/>
    <x v="831"/>
    <x v="1"/>
    <x v="1"/>
    <x v="1"/>
    <s v="CAPEX"/>
    <s v="Retainer"/>
    <x v="3"/>
    <n v="45"/>
    <x v="1"/>
    <n v="13"/>
  </r>
  <r>
    <x v="118"/>
    <x v="10"/>
    <x v="9"/>
    <x v="342"/>
    <x v="2"/>
    <x v="832"/>
    <x v="0"/>
    <x v="1"/>
    <x v="3"/>
    <s v="CAPEX"/>
    <s v="Fixed"/>
    <x v="2"/>
    <n v="90"/>
    <x v="0"/>
    <n v="20"/>
  </r>
  <r>
    <x v="71"/>
    <x v="7"/>
    <x v="6"/>
    <x v="70"/>
    <x v="2"/>
    <x v="833"/>
    <x v="0"/>
    <x v="1"/>
    <x v="2"/>
    <s v="CAPEX"/>
    <s v="Fixed"/>
    <x v="3"/>
    <n v="45"/>
    <x v="2"/>
    <n v="7"/>
  </r>
  <r>
    <x v="333"/>
    <x v="0"/>
    <x v="2"/>
    <x v="143"/>
    <x v="0"/>
    <x v="834"/>
    <x v="1"/>
    <x v="0"/>
    <x v="2"/>
    <s v="CAPEX"/>
    <s v="Retainer"/>
    <x v="0"/>
    <n v="90"/>
    <x v="0"/>
    <n v="4"/>
  </r>
  <r>
    <x v="6"/>
    <x v="11"/>
    <x v="6"/>
    <x v="401"/>
    <x v="0"/>
    <x v="835"/>
    <x v="1"/>
    <x v="1"/>
    <x v="4"/>
    <s v="CAPEX"/>
    <s v="Variable"/>
    <x v="4"/>
    <n v="45"/>
    <x v="0"/>
    <n v="4"/>
  </r>
  <r>
    <x v="93"/>
    <x v="8"/>
    <x v="2"/>
    <x v="402"/>
    <x v="0"/>
    <x v="836"/>
    <x v="0"/>
    <x v="0"/>
    <x v="2"/>
    <s v="CAPEX"/>
    <s v="Fixed"/>
    <x v="0"/>
    <n v="60"/>
    <x v="1"/>
    <n v="10"/>
  </r>
  <r>
    <x v="134"/>
    <x v="6"/>
    <x v="7"/>
    <x v="20"/>
    <x v="1"/>
    <x v="837"/>
    <x v="0"/>
    <x v="0"/>
    <x v="3"/>
    <s v="OPEX"/>
    <s v="Retainer"/>
    <x v="2"/>
    <n v="45"/>
    <x v="2"/>
    <n v="19"/>
  </r>
  <r>
    <x v="141"/>
    <x v="6"/>
    <x v="7"/>
    <x v="223"/>
    <x v="2"/>
    <x v="838"/>
    <x v="0"/>
    <x v="1"/>
    <x v="3"/>
    <s v="CAPEX"/>
    <s v="Variable"/>
    <x v="3"/>
    <n v="60"/>
    <x v="0"/>
    <n v="15"/>
  </r>
  <r>
    <x v="115"/>
    <x v="10"/>
    <x v="2"/>
    <x v="360"/>
    <x v="1"/>
    <x v="839"/>
    <x v="0"/>
    <x v="0"/>
    <x v="0"/>
    <s v="CAPEX"/>
    <s v="Retainer"/>
    <x v="2"/>
    <n v="60"/>
    <x v="2"/>
    <n v="20"/>
  </r>
  <r>
    <x v="209"/>
    <x v="6"/>
    <x v="3"/>
    <x v="27"/>
    <x v="0"/>
    <x v="840"/>
    <x v="0"/>
    <x v="1"/>
    <x v="2"/>
    <s v="CAPEX"/>
    <s v="Retainer"/>
    <x v="2"/>
    <n v="90"/>
    <x v="0"/>
    <n v="3"/>
  </r>
  <r>
    <x v="278"/>
    <x v="8"/>
    <x v="6"/>
    <x v="223"/>
    <x v="1"/>
    <x v="841"/>
    <x v="1"/>
    <x v="0"/>
    <x v="5"/>
    <s v="OPEX"/>
    <s v="Retainer"/>
    <x v="2"/>
    <n v="90"/>
    <x v="0"/>
    <n v="9"/>
  </r>
  <r>
    <x v="242"/>
    <x v="9"/>
    <x v="0"/>
    <x v="403"/>
    <x v="0"/>
    <x v="842"/>
    <x v="1"/>
    <x v="1"/>
    <x v="0"/>
    <s v="OPEX"/>
    <s v="Variable"/>
    <x v="1"/>
    <n v="30"/>
    <x v="0"/>
    <n v="5"/>
  </r>
  <r>
    <x v="297"/>
    <x v="1"/>
    <x v="4"/>
    <x v="19"/>
    <x v="2"/>
    <x v="843"/>
    <x v="1"/>
    <x v="0"/>
    <x v="3"/>
    <s v="OPEX"/>
    <s v="Retainer"/>
    <x v="0"/>
    <n v="90"/>
    <x v="1"/>
    <n v="7"/>
  </r>
  <r>
    <x v="72"/>
    <x v="3"/>
    <x v="4"/>
    <x v="404"/>
    <x v="1"/>
    <x v="844"/>
    <x v="1"/>
    <x v="0"/>
    <x v="4"/>
    <s v="CAPEX"/>
    <s v="Fixed"/>
    <x v="1"/>
    <n v="60"/>
    <x v="2"/>
    <n v="18"/>
  </r>
  <r>
    <x v="334"/>
    <x v="7"/>
    <x v="8"/>
    <x v="32"/>
    <x v="1"/>
    <x v="845"/>
    <x v="0"/>
    <x v="1"/>
    <x v="4"/>
    <s v="CAPEX"/>
    <s v="Variable"/>
    <x v="3"/>
    <n v="60"/>
    <x v="0"/>
    <n v="11"/>
  </r>
  <r>
    <x v="83"/>
    <x v="9"/>
    <x v="4"/>
    <x v="195"/>
    <x v="0"/>
    <x v="846"/>
    <x v="1"/>
    <x v="0"/>
    <x v="1"/>
    <s v="OPEX"/>
    <s v="Variable"/>
    <x v="2"/>
    <n v="30"/>
    <x v="0"/>
    <n v="12"/>
  </r>
  <r>
    <x v="105"/>
    <x v="1"/>
    <x v="7"/>
    <x v="395"/>
    <x v="2"/>
    <x v="847"/>
    <x v="0"/>
    <x v="0"/>
    <x v="4"/>
    <s v="CAPEX"/>
    <s v="Variable"/>
    <x v="3"/>
    <n v="90"/>
    <x v="1"/>
    <n v="7"/>
  </r>
  <r>
    <x v="142"/>
    <x v="9"/>
    <x v="6"/>
    <x v="309"/>
    <x v="0"/>
    <x v="848"/>
    <x v="1"/>
    <x v="0"/>
    <x v="1"/>
    <s v="OPEX"/>
    <s v="Retainer"/>
    <x v="1"/>
    <n v="90"/>
    <x v="1"/>
    <n v="7"/>
  </r>
  <r>
    <x v="221"/>
    <x v="7"/>
    <x v="4"/>
    <x v="130"/>
    <x v="1"/>
    <x v="849"/>
    <x v="0"/>
    <x v="0"/>
    <x v="1"/>
    <s v="CAPEX"/>
    <s v="Fixed"/>
    <x v="3"/>
    <n v="90"/>
    <x v="2"/>
    <n v="20"/>
  </r>
  <r>
    <x v="335"/>
    <x v="5"/>
    <x v="2"/>
    <x v="326"/>
    <x v="2"/>
    <x v="850"/>
    <x v="0"/>
    <x v="0"/>
    <x v="2"/>
    <s v="CAPEX"/>
    <s v="Variable"/>
    <x v="3"/>
    <n v="90"/>
    <x v="2"/>
    <n v="12"/>
  </r>
  <r>
    <x v="106"/>
    <x v="10"/>
    <x v="3"/>
    <x v="277"/>
    <x v="1"/>
    <x v="851"/>
    <x v="1"/>
    <x v="0"/>
    <x v="0"/>
    <s v="OPEX"/>
    <s v="Fixed"/>
    <x v="1"/>
    <n v="90"/>
    <x v="2"/>
    <n v="20"/>
  </r>
  <r>
    <x v="82"/>
    <x v="0"/>
    <x v="4"/>
    <x v="91"/>
    <x v="1"/>
    <x v="852"/>
    <x v="0"/>
    <x v="0"/>
    <x v="1"/>
    <s v="OPEX"/>
    <s v="Retainer"/>
    <x v="1"/>
    <n v="60"/>
    <x v="1"/>
    <n v="18"/>
  </r>
  <r>
    <x v="38"/>
    <x v="9"/>
    <x v="7"/>
    <x v="251"/>
    <x v="1"/>
    <x v="853"/>
    <x v="0"/>
    <x v="0"/>
    <x v="5"/>
    <s v="CAPEX"/>
    <s v="Retainer"/>
    <x v="2"/>
    <n v="60"/>
    <x v="0"/>
    <n v="15"/>
  </r>
  <r>
    <x v="31"/>
    <x v="0"/>
    <x v="8"/>
    <x v="251"/>
    <x v="2"/>
    <x v="854"/>
    <x v="0"/>
    <x v="0"/>
    <x v="3"/>
    <s v="CAPEX"/>
    <s v="Retainer"/>
    <x v="3"/>
    <n v="60"/>
    <x v="2"/>
    <n v="15"/>
  </r>
  <r>
    <x v="42"/>
    <x v="7"/>
    <x v="5"/>
    <x v="68"/>
    <x v="2"/>
    <x v="855"/>
    <x v="0"/>
    <x v="0"/>
    <x v="4"/>
    <s v="OPEX"/>
    <s v="Variable"/>
    <x v="1"/>
    <n v="30"/>
    <x v="0"/>
    <n v="15"/>
  </r>
  <r>
    <x v="225"/>
    <x v="8"/>
    <x v="3"/>
    <x v="263"/>
    <x v="1"/>
    <x v="856"/>
    <x v="0"/>
    <x v="1"/>
    <x v="0"/>
    <s v="OPEX"/>
    <s v="Fixed"/>
    <x v="0"/>
    <n v="45"/>
    <x v="2"/>
    <n v="9"/>
  </r>
  <r>
    <x v="137"/>
    <x v="5"/>
    <x v="0"/>
    <x v="389"/>
    <x v="1"/>
    <x v="857"/>
    <x v="1"/>
    <x v="1"/>
    <x v="2"/>
    <s v="CAPEX"/>
    <s v="Variable"/>
    <x v="1"/>
    <n v="90"/>
    <x v="0"/>
    <n v="13"/>
  </r>
  <r>
    <x v="205"/>
    <x v="2"/>
    <x v="4"/>
    <x v="70"/>
    <x v="0"/>
    <x v="858"/>
    <x v="1"/>
    <x v="0"/>
    <x v="5"/>
    <s v="OPEX"/>
    <s v="Variable"/>
    <x v="2"/>
    <n v="60"/>
    <x v="2"/>
    <n v="12"/>
  </r>
  <r>
    <x v="166"/>
    <x v="0"/>
    <x v="1"/>
    <x v="217"/>
    <x v="1"/>
    <x v="859"/>
    <x v="1"/>
    <x v="0"/>
    <x v="2"/>
    <s v="OPEX"/>
    <s v="Fixed"/>
    <x v="2"/>
    <n v="45"/>
    <x v="1"/>
    <n v="7"/>
  </r>
  <r>
    <x v="86"/>
    <x v="2"/>
    <x v="1"/>
    <x v="53"/>
    <x v="1"/>
    <x v="860"/>
    <x v="0"/>
    <x v="0"/>
    <x v="4"/>
    <s v="CAPEX"/>
    <s v="Fixed"/>
    <x v="0"/>
    <n v="45"/>
    <x v="2"/>
    <n v="12"/>
  </r>
  <r>
    <x v="120"/>
    <x v="6"/>
    <x v="3"/>
    <x v="252"/>
    <x v="2"/>
    <x v="861"/>
    <x v="0"/>
    <x v="1"/>
    <x v="0"/>
    <s v="CAPEX"/>
    <s v="Variable"/>
    <x v="1"/>
    <n v="90"/>
    <x v="0"/>
    <n v="17"/>
  </r>
  <r>
    <x v="317"/>
    <x v="10"/>
    <x v="2"/>
    <x v="405"/>
    <x v="2"/>
    <x v="862"/>
    <x v="0"/>
    <x v="1"/>
    <x v="1"/>
    <s v="CAPEX"/>
    <s v="Variable"/>
    <x v="0"/>
    <n v="60"/>
    <x v="2"/>
    <n v="6"/>
  </r>
  <r>
    <x v="112"/>
    <x v="4"/>
    <x v="7"/>
    <x v="17"/>
    <x v="1"/>
    <x v="863"/>
    <x v="1"/>
    <x v="1"/>
    <x v="4"/>
    <s v="CAPEX"/>
    <s v="Fixed"/>
    <x v="1"/>
    <n v="90"/>
    <x v="2"/>
    <n v="3"/>
  </r>
  <r>
    <x v="121"/>
    <x v="1"/>
    <x v="2"/>
    <x v="74"/>
    <x v="0"/>
    <x v="864"/>
    <x v="1"/>
    <x v="1"/>
    <x v="2"/>
    <s v="OPEX"/>
    <s v="Variable"/>
    <x v="1"/>
    <n v="45"/>
    <x v="2"/>
    <n v="9"/>
  </r>
  <r>
    <x v="314"/>
    <x v="7"/>
    <x v="1"/>
    <x v="4"/>
    <x v="1"/>
    <x v="865"/>
    <x v="0"/>
    <x v="1"/>
    <x v="3"/>
    <s v="CAPEX"/>
    <s v="Retainer"/>
    <x v="0"/>
    <n v="45"/>
    <x v="0"/>
    <n v="12"/>
  </r>
  <r>
    <x v="238"/>
    <x v="7"/>
    <x v="1"/>
    <x v="221"/>
    <x v="1"/>
    <x v="866"/>
    <x v="1"/>
    <x v="1"/>
    <x v="4"/>
    <s v="OPEX"/>
    <s v="Fixed"/>
    <x v="2"/>
    <n v="30"/>
    <x v="1"/>
    <n v="3"/>
  </r>
  <r>
    <x v="82"/>
    <x v="10"/>
    <x v="4"/>
    <x v="208"/>
    <x v="0"/>
    <x v="867"/>
    <x v="0"/>
    <x v="1"/>
    <x v="4"/>
    <s v="OPEX"/>
    <s v="Variable"/>
    <x v="3"/>
    <n v="90"/>
    <x v="0"/>
    <n v="12"/>
  </r>
  <r>
    <x v="333"/>
    <x v="2"/>
    <x v="2"/>
    <x v="298"/>
    <x v="0"/>
    <x v="868"/>
    <x v="0"/>
    <x v="0"/>
    <x v="1"/>
    <s v="OPEX"/>
    <s v="Fixed"/>
    <x v="0"/>
    <n v="90"/>
    <x v="2"/>
    <n v="3"/>
  </r>
  <r>
    <x v="24"/>
    <x v="7"/>
    <x v="5"/>
    <x v="406"/>
    <x v="2"/>
    <x v="869"/>
    <x v="1"/>
    <x v="0"/>
    <x v="1"/>
    <s v="OPEX"/>
    <s v="Fixed"/>
    <x v="1"/>
    <n v="60"/>
    <x v="2"/>
    <n v="12"/>
  </r>
  <r>
    <x v="211"/>
    <x v="0"/>
    <x v="0"/>
    <x v="194"/>
    <x v="1"/>
    <x v="870"/>
    <x v="0"/>
    <x v="0"/>
    <x v="0"/>
    <s v="OPEX"/>
    <s v="Retainer"/>
    <x v="2"/>
    <n v="60"/>
    <x v="0"/>
    <n v="12"/>
  </r>
  <r>
    <x v="336"/>
    <x v="3"/>
    <x v="2"/>
    <x v="216"/>
    <x v="1"/>
    <x v="871"/>
    <x v="1"/>
    <x v="0"/>
    <x v="5"/>
    <s v="OPEX"/>
    <s v="Retainer"/>
    <x v="4"/>
    <n v="45"/>
    <x v="0"/>
    <n v="14"/>
  </r>
  <r>
    <x v="27"/>
    <x v="1"/>
    <x v="9"/>
    <x v="28"/>
    <x v="1"/>
    <x v="872"/>
    <x v="1"/>
    <x v="0"/>
    <x v="3"/>
    <s v="OPEX"/>
    <s v="Fixed"/>
    <x v="0"/>
    <n v="90"/>
    <x v="2"/>
    <n v="12"/>
  </r>
  <r>
    <x v="117"/>
    <x v="7"/>
    <x v="3"/>
    <x v="359"/>
    <x v="1"/>
    <x v="873"/>
    <x v="0"/>
    <x v="1"/>
    <x v="3"/>
    <s v="CAPEX"/>
    <s v="Retainer"/>
    <x v="2"/>
    <n v="45"/>
    <x v="2"/>
    <n v="4"/>
  </r>
  <r>
    <x v="167"/>
    <x v="8"/>
    <x v="1"/>
    <x v="46"/>
    <x v="2"/>
    <x v="874"/>
    <x v="1"/>
    <x v="1"/>
    <x v="5"/>
    <s v="CAPEX"/>
    <s v="Fixed"/>
    <x v="0"/>
    <n v="60"/>
    <x v="0"/>
    <n v="14"/>
  </r>
  <r>
    <x v="135"/>
    <x v="11"/>
    <x v="1"/>
    <x v="60"/>
    <x v="2"/>
    <x v="875"/>
    <x v="0"/>
    <x v="0"/>
    <x v="5"/>
    <s v="OPEX"/>
    <s v="Fixed"/>
    <x v="3"/>
    <n v="30"/>
    <x v="2"/>
    <n v="4"/>
  </r>
  <r>
    <x v="280"/>
    <x v="8"/>
    <x v="2"/>
    <x v="407"/>
    <x v="2"/>
    <x v="876"/>
    <x v="0"/>
    <x v="0"/>
    <x v="4"/>
    <s v="CAPEX"/>
    <s v="Variable"/>
    <x v="0"/>
    <n v="90"/>
    <x v="0"/>
    <n v="14"/>
  </r>
  <r>
    <x v="335"/>
    <x v="5"/>
    <x v="0"/>
    <x v="132"/>
    <x v="2"/>
    <x v="877"/>
    <x v="0"/>
    <x v="1"/>
    <x v="5"/>
    <s v="OPEX"/>
    <s v="Fixed"/>
    <x v="1"/>
    <n v="45"/>
    <x v="1"/>
    <n v="14"/>
  </r>
  <r>
    <x v="61"/>
    <x v="0"/>
    <x v="2"/>
    <x v="151"/>
    <x v="1"/>
    <x v="878"/>
    <x v="1"/>
    <x v="1"/>
    <x v="3"/>
    <s v="OPEX"/>
    <s v="Fixed"/>
    <x v="1"/>
    <n v="45"/>
    <x v="2"/>
    <n v="8"/>
  </r>
  <r>
    <x v="50"/>
    <x v="5"/>
    <x v="7"/>
    <x v="304"/>
    <x v="1"/>
    <x v="879"/>
    <x v="0"/>
    <x v="0"/>
    <x v="2"/>
    <s v="OPEX"/>
    <s v="Retainer"/>
    <x v="0"/>
    <n v="60"/>
    <x v="0"/>
    <n v="17"/>
  </r>
  <r>
    <x v="13"/>
    <x v="3"/>
    <x v="3"/>
    <x v="246"/>
    <x v="2"/>
    <x v="880"/>
    <x v="0"/>
    <x v="0"/>
    <x v="1"/>
    <s v="CAPEX"/>
    <s v="Retainer"/>
    <x v="2"/>
    <n v="60"/>
    <x v="2"/>
    <n v="20"/>
  </r>
  <r>
    <x v="119"/>
    <x v="6"/>
    <x v="4"/>
    <x v="408"/>
    <x v="2"/>
    <x v="881"/>
    <x v="0"/>
    <x v="1"/>
    <x v="3"/>
    <s v="OPEX"/>
    <s v="Variable"/>
    <x v="4"/>
    <n v="90"/>
    <x v="1"/>
    <n v="13"/>
  </r>
  <r>
    <x v="94"/>
    <x v="2"/>
    <x v="2"/>
    <x v="409"/>
    <x v="2"/>
    <x v="882"/>
    <x v="0"/>
    <x v="0"/>
    <x v="0"/>
    <s v="CAPEX"/>
    <s v="Variable"/>
    <x v="0"/>
    <n v="60"/>
    <x v="0"/>
    <n v="15"/>
  </r>
  <r>
    <x v="147"/>
    <x v="0"/>
    <x v="0"/>
    <x v="372"/>
    <x v="0"/>
    <x v="883"/>
    <x v="0"/>
    <x v="1"/>
    <x v="4"/>
    <s v="OPEX"/>
    <s v="Retainer"/>
    <x v="0"/>
    <n v="45"/>
    <x v="0"/>
    <n v="17"/>
  </r>
  <r>
    <x v="37"/>
    <x v="4"/>
    <x v="6"/>
    <x v="410"/>
    <x v="2"/>
    <x v="884"/>
    <x v="1"/>
    <x v="0"/>
    <x v="2"/>
    <s v="OPEX"/>
    <s v="Variable"/>
    <x v="0"/>
    <n v="45"/>
    <x v="1"/>
    <n v="15"/>
  </r>
  <r>
    <x v="135"/>
    <x v="3"/>
    <x v="6"/>
    <x v="411"/>
    <x v="1"/>
    <x v="885"/>
    <x v="0"/>
    <x v="0"/>
    <x v="5"/>
    <s v="OPEX"/>
    <s v="Fixed"/>
    <x v="3"/>
    <n v="30"/>
    <x v="1"/>
    <n v="17"/>
  </r>
  <r>
    <x v="21"/>
    <x v="9"/>
    <x v="1"/>
    <x v="363"/>
    <x v="2"/>
    <x v="886"/>
    <x v="0"/>
    <x v="0"/>
    <x v="1"/>
    <s v="OPEX"/>
    <s v="Retainer"/>
    <x v="0"/>
    <n v="30"/>
    <x v="1"/>
    <n v="5"/>
  </r>
  <r>
    <x v="193"/>
    <x v="5"/>
    <x v="1"/>
    <x v="44"/>
    <x v="0"/>
    <x v="887"/>
    <x v="0"/>
    <x v="0"/>
    <x v="2"/>
    <s v="OPEX"/>
    <s v="Variable"/>
    <x v="0"/>
    <n v="45"/>
    <x v="1"/>
    <n v="13"/>
  </r>
  <r>
    <x v="90"/>
    <x v="1"/>
    <x v="6"/>
    <x v="234"/>
    <x v="1"/>
    <x v="888"/>
    <x v="1"/>
    <x v="1"/>
    <x v="4"/>
    <s v="OPEX"/>
    <s v="Fixed"/>
    <x v="1"/>
    <n v="30"/>
    <x v="0"/>
    <n v="17"/>
  </r>
  <r>
    <x v="57"/>
    <x v="0"/>
    <x v="0"/>
    <x v="352"/>
    <x v="0"/>
    <x v="889"/>
    <x v="0"/>
    <x v="1"/>
    <x v="2"/>
    <s v="CAPEX"/>
    <s v="Fixed"/>
    <x v="2"/>
    <n v="60"/>
    <x v="2"/>
    <n v="7"/>
  </r>
  <r>
    <x v="15"/>
    <x v="8"/>
    <x v="6"/>
    <x v="87"/>
    <x v="0"/>
    <x v="890"/>
    <x v="0"/>
    <x v="1"/>
    <x v="2"/>
    <s v="CAPEX"/>
    <s v="Fixed"/>
    <x v="2"/>
    <n v="60"/>
    <x v="0"/>
    <n v="19"/>
  </r>
  <r>
    <x v="143"/>
    <x v="5"/>
    <x v="2"/>
    <x v="240"/>
    <x v="2"/>
    <x v="891"/>
    <x v="1"/>
    <x v="1"/>
    <x v="1"/>
    <s v="OPEX"/>
    <s v="Retainer"/>
    <x v="2"/>
    <n v="60"/>
    <x v="0"/>
    <n v="16"/>
  </r>
  <r>
    <x v="279"/>
    <x v="5"/>
    <x v="1"/>
    <x v="409"/>
    <x v="2"/>
    <x v="892"/>
    <x v="0"/>
    <x v="1"/>
    <x v="4"/>
    <s v="CAPEX"/>
    <s v="Fixed"/>
    <x v="4"/>
    <n v="30"/>
    <x v="0"/>
    <n v="19"/>
  </r>
  <r>
    <x v="171"/>
    <x v="11"/>
    <x v="5"/>
    <x v="139"/>
    <x v="1"/>
    <x v="893"/>
    <x v="0"/>
    <x v="1"/>
    <x v="2"/>
    <s v="OPEX"/>
    <s v="Variable"/>
    <x v="2"/>
    <n v="60"/>
    <x v="2"/>
    <n v="6"/>
  </r>
  <r>
    <x v="14"/>
    <x v="7"/>
    <x v="7"/>
    <x v="261"/>
    <x v="1"/>
    <x v="894"/>
    <x v="1"/>
    <x v="0"/>
    <x v="4"/>
    <s v="CAPEX"/>
    <s v="Retainer"/>
    <x v="2"/>
    <n v="30"/>
    <x v="0"/>
    <n v="11"/>
  </r>
  <r>
    <x v="87"/>
    <x v="11"/>
    <x v="2"/>
    <x v="112"/>
    <x v="1"/>
    <x v="895"/>
    <x v="0"/>
    <x v="0"/>
    <x v="3"/>
    <s v="OPEX"/>
    <s v="Variable"/>
    <x v="2"/>
    <n v="90"/>
    <x v="1"/>
    <n v="3"/>
  </r>
  <r>
    <x v="155"/>
    <x v="4"/>
    <x v="9"/>
    <x v="121"/>
    <x v="1"/>
    <x v="896"/>
    <x v="1"/>
    <x v="0"/>
    <x v="5"/>
    <s v="OPEX"/>
    <s v="Fixed"/>
    <x v="3"/>
    <n v="45"/>
    <x v="2"/>
    <n v="17"/>
  </r>
  <r>
    <x v="206"/>
    <x v="10"/>
    <x v="2"/>
    <x v="381"/>
    <x v="0"/>
    <x v="897"/>
    <x v="1"/>
    <x v="0"/>
    <x v="5"/>
    <s v="CAPEX"/>
    <s v="Variable"/>
    <x v="2"/>
    <n v="60"/>
    <x v="2"/>
    <n v="12"/>
  </r>
  <r>
    <x v="221"/>
    <x v="5"/>
    <x v="3"/>
    <x v="166"/>
    <x v="1"/>
    <x v="898"/>
    <x v="1"/>
    <x v="1"/>
    <x v="0"/>
    <s v="OPEX"/>
    <s v="Retainer"/>
    <x v="3"/>
    <n v="90"/>
    <x v="1"/>
    <n v="11"/>
  </r>
  <r>
    <x v="167"/>
    <x v="9"/>
    <x v="0"/>
    <x v="412"/>
    <x v="1"/>
    <x v="899"/>
    <x v="1"/>
    <x v="1"/>
    <x v="0"/>
    <s v="CAPEX"/>
    <s v="Variable"/>
    <x v="3"/>
    <n v="60"/>
    <x v="0"/>
    <n v="17"/>
  </r>
  <r>
    <x v="43"/>
    <x v="10"/>
    <x v="3"/>
    <x v="158"/>
    <x v="0"/>
    <x v="900"/>
    <x v="0"/>
    <x v="1"/>
    <x v="3"/>
    <s v="OPEX"/>
    <s v="Variable"/>
    <x v="3"/>
    <n v="45"/>
    <x v="0"/>
    <n v="18"/>
  </r>
  <r>
    <x v="45"/>
    <x v="2"/>
    <x v="2"/>
    <x v="158"/>
    <x v="2"/>
    <x v="901"/>
    <x v="1"/>
    <x v="0"/>
    <x v="1"/>
    <s v="CAPEX"/>
    <s v="Fixed"/>
    <x v="1"/>
    <n v="45"/>
    <x v="1"/>
    <n v="15"/>
  </r>
  <r>
    <x v="312"/>
    <x v="7"/>
    <x v="2"/>
    <x v="236"/>
    <x v="2"/>
    <x v="902"/>
    <x v="1"/>
    <x v="0"/>
    <x v="0"/>
    <s v="CAPEX"/>
    <s v="Fixed"/>
    <x v="0"/>
    <n v="30"/>
    <x v="0"/>
    <n v="9"/>
  </r>
  <r>
    <x v="139"/>
    <x v="7"/>
    <x v="3"/>
    <x v="197"/>
    <x v="2"/>
    <x v="903"/>
    <x v="0"/>
    <x v="0"/>
    <x v="5"/>
    <s v="CAPEX"/>
    <s v="Retainer"/>
    <x v="1"/>
    <n v="30"/>
    <x v="0"/>
    <n v="12"/>
  </r>
  <r>
    <x v="278"/>
    <x v="10"/>
    <x v="6"/>
    <x v="225"/>
    <x v="1"/>
    <x v="904"/>
    <x v="0"/>
    <x v="1"/>
    <x v="4"/>
    <s v="OPEX"/>
    <s v="Fixed"/>
    <x v="1"/>
    <n v="30"/>
    <x v="2"/>
    <n v="7"/>
  </r>
  <r>
    <x v="201"/>
    <x v="4"/>
    <x v="0"/>
    <x v="361"/>
    <x v="2"/>
    <x v="905"/>
    <x v="1"/>
    <x v="0"/>
    <x v="3"/>
    <s v="OPEX"/>
    <s v="Fixed"/>
    <x v="1"/>
    <n v="45"/>
    <x v="0"/>
    <n v="13"/>
  </r>
  <r>
    <x v="87"/>
    <x v="4"/>
    <x v="0"/>
    <x v="42"/>
    <x v="1"/>
    <x v="906"/>
    <x v="1"/>
    <x v="0"/>
    <x v="2"/>
    <s v="OPEX"/>
    <s v="Retainer"/>
    <x v="1"/>
    <n v="30"/>
    <x v="0"/>
    <n v="11"/>
  </r>
  <r>
    <x v="327"/>
    <x v="0"/>
    <x v="2"/>
    <x v="413"/>
    <x v="1"/>
    <x v="907"/>
    <x v="0"/>
    <x v="1"/>
    <x v="5"/>
    <s v="CAPEX"/>
    <s v="Retainer"/>
    <x v="1"/>
    <n v="30"/>
    <x v="1"/>
    <n v="15"/>
  </r>
  <r>
    <x v="156"/>
    <x v="5"/>
    <x v="2"/>
    <x v="274"/>
    <x v="2"/>
    <x v="908"/>
    <x v="1"/>
    <x v="0"/>
    <x v="1"/>
    <s v="CAPEX"/>
    <s v="Fixed"/>
    <x v="1"/>
    <n v="45"/>
    <x v="1"/>
    <n v="13"/>
  </r>
  <r>
    <x v="218"/>
    <x v="5"/>
    <x v="4"/>
    <x v="356"/>
    <x v="0"/>
    <x v="909"/>
    <x v="0"/>
    <x v="0"/>
    <x v="1"/>
    <s v="CAPEX"/>
    <s v="Retainer"/>
    <x v="0"/>
    <n v="45"/>
    <x v="1"/>
    <n v="6"/>
  </r>
  <r>
    <x v="132"/>
    <x v="4"/>
    <x v="7"/>
    <x v="414"/>
    <x v="0"/>
    <x v="910"/>
    <x v="0"/>
    <x v="1"/>
    <x v="2"/>
    <s v="CAPEX"/>
    <s v="Variable"/>
    <x v="4"/>
    <n v="90"/>
    <x v="0"/>
    <n v="9"/>
  </r>
  <r>
    <x v="337"/>
    <x v="6"/>
    <x v="1"/>
    <x v="339"/>
    <x v="0"/>
    <x v="911"/>
    <x v="1"/>
    <x v="0"/>
    <x v="0"/>
    <s v="OPEX"/>
    <s v="Variable"/>
    <x v="1"/>
    <n v="60"/>
    <x v="1"/>
    <n v="6"/>
  </r>
  <r>
    <x v="338"/>
    <x v="6"/>
    <x v="6"/>
    <x v="355"/>
    <x v="2"/>
    <x v="912"/>
    <x v="0"/>
    <x v="1"/>
    <x v="2"/>
    <s v="OPEX"/>
    <s v="Variable"/>
    <x v="1"/>
    <n v="90"/>
    <x v="2"/>
    <n v="19"/>
  </r>
  <r>
    <x v="339"/>
    <x v="1"/>
    <x v="3"/>
    <x v="415"/>
    <x v="0"/>
    <x v="913"/>
    <x v="0"/>
    <x v="1"/>
    <x v="1"/>
    <s v="OPEX"/>
    <s v="Variable"/>
    <x v="4"/>
    <n v="60"/>
    <x v="0"/>
    <n v="8"/>
  </r>
  <r>
    <x v="181"/>
    <x v="0"/>
    <x v="7"/>
    <x v="230"/>
    <x v="0"/>
    <x v="914"/>
    <x v="1"/>
    <x v="0"/>
    <x v="2"/>
    <s v="CAPEX"/>
    <s v="Variable"/>
    <x v="2"/>
    <n v="30"/>
    <x v="0"/>
    <n v="10"/>
  </r>
  <r>
    <x v="21"/>
    <x v="10"/>
    <x v="1"/>
    <x v="151"/>
    <x v="0"/>
    <x v="915"/>
    <x v="0"/>
    <x v="0"/>
    <x v="5"/>
    <s v="CAPEX"/>
    <s v="Variable"/>
    <x v="2"/>
    <n v="45"/>
    <x v="0"/>
    <n v="20"/>
  </r>
  <r>
    <x v="144"/>
    <x v="5"/>
    <x v="5"/>
    <x v="259"/>
    <x v="1"/>
    <x v="916"/>
    <x v="1"/>
    <x v="1"/>
    <x v="4"/>
    <s v="OPEX"/>
    <s v="Fixed"/>
    <x v="3"/>
    <n v="45"/>
    <x v="1"/>
    <n v="7"/>
  </r>
  <r>
    <x v="322"/>
    <x v="1"/>
    <x v="5"/>
    <x v="139"/>
    <x v="1"/>
    <x v="917"/>
    <x v="1"/>
    <x v="1"/>
    <x v="4"/>
    <s v="CAPEX"/>
    <s v="Fixed"/>
    <x v="3"/>
    <n v="60"/>
    <x v="2"/>
    <n v="7"/>
  </r>
  <r>
    <x v="70"/>
    <x v="1"/>
    <x v="9"/>
    <x v="362"/>
    <x v="0"/>
    <x v="918"/>
    <x v="0"/>
    <x v="0"/>
    <x v="4"/>
    <s v="CAPEX"/>
    <s v="Variable"/>
    <x v="2"/>
    <n v="30"/>
    <x v="1"/>
    <n v="12"/>
  </r>
  <r>
    <x v="148"/>
    <x v="2"/>
    <x v="9"/>
    <x v="40"/>
    <x v="1"/>
    <x v="919"/>
    <x v="1"/>
    <x v="1"/>
    <x v="2"/>
    <s v="OPEX"/>
    <s v="Variable"/>
    <x v="0"/>
    <n v="30"/>
    <x v="0"/>
    <n v="12"/>
  </r>
  <r>
    <x v="67"/>
    <x v="7"/>
    <x v="5"/>
    <x v="273"/>
    <x v="1"/>
    <x v="920"/>
    <x v="1"/>
    <x v="1"/>
    <x v="3"/>
    <s v="CAPEX"/>
    <s v="Fixed"/>
    <x v="3"/>
    <n v="60"/>
    <x v="2"/>
    <n v="16"/>
  </r>
  <r>
    <x v="255"/>
    <x v="0"/>
    <x v="4"/>
    <x v="269"/>
    <x v="2"/>
    <x v="921"/>
    <x v="0"/>
    <x v="1"/>
    <x v="0"/>
    <s v="OPEX"/>
    <s v="Fixed"/>
    <x v="1"/>
    <n v="30"/>
    <x v="0"/>
    <n v="16"/>
  </r>
  <r>
    <x v="112"/>
    <x v="10"/>
    <x v="1"/>
    <x v="244"/>
    <x v="2"/>
    <x v="922"/>
    <x v="0"/>
    <x v="0"/>
    <x v="2"/>
    <s v="OPEX"/>
    <s v="Retainer"/>
    <x v="2"/>
    <n v="45"/>
    <x v="2"/>
    <n v="8"/>
  </r>
  <r>
    <x v="140"/>
    <x v="1"/>
    <x v="5"/>
    <x v="321"/>
    <x v="2"/>
    <x v="923"/>
    <x v="1"/>
    <x v="0"/>
    <x v="2"/>
    <s v="OPEX"/>
    <s v="Retainer"/>
    <x v="1"/>
    <n v="60"/>
    <x v="2"/>
    <n v="16"/>
  </r>
  <r>
    <x v="197"/>
    <x v="4"/>
    <x v="2"/>
    <x v="256"/>
    <x v="0"/>
    <x v="924"/>
    <x v="1"/>
    <x v="0"/>
    <x v="3"/>
    <s v="CAPEX"/>
    <s v="Retainer"/>
    <x v="2"/>
    <n v="60"/>
    <x v="0"/>
    <n v="11"/>
  </r>
  <r>
    <x v="281"/>
    <x v="1"/>
    <x v="8"/>
    <x v="188"/>
    <x v="1"/>
    <x v="925"/>
    <x v="1"/>
    <x v="1"/>
    <x v="3"/>
    <s v="CAPEX"/>
    <s v="Fixed"/>
    <x v="1"/>
    <n v="60"/>
    <x v="0"/>
    <n v="18"/>
  </r>
  <r>
    <x v="248"/>
    <x v="7"/>
    <x v="1"/>
    <x v="212"/>
    <x v="0"/>
    <x v="926"/>
    <x v="1"/>
    <x v="1"/>
    <x v="4"/>
    <s v="CAPEX"/>
    <s v="Retainer"/>
    <x v="3"/>
    <n v="45"/>
    <x v="0"/>
    <n v="12"/>
  </r>
  <r>
    <x v="252"/>
    <x v="7"/>
    <x v="9"/>
    <x v="164"/>
    <x v="1"/>
    <x v="927"/>
    <x v="0"/>
    <x v="1"/>
    <x v="5"/>
    <s v="CAPEX"/>
    <s v="Retainer"/>
    <x v="4"/>
    <n v="60"/>
    <x v="0"/>
    <n v="20"/>
  </r>
  <r>
    <x v="38"/>
    <x v="0"/>
    <x v="3"/>
    <x v="152"/>
    <x v="2"/>
    <x v="928"/>
    <x v="1"/>
    <x v="1"/>
    <x v="4"/>
    <s v="OPEX"/>
    <s v="Variable"/>
    <x v="3"/>
    <n v="30"/>
    <x v="1"/>
    <n v="7"/>
  </r>
  <r>
    <x v="113"/>
    <x v="3"/>
    <x v="5"/>
    <x v="201"/>
    <x v="2"/>
    <x v="929"/>
    <x v="0"/>
    <x v="0"/>
    <x v="0"/>
    <s v="OPEX"/>
    <s v="Variable"/>
    <x v="0"/>
    <n v="30"/>
    <x v="0"/>
    <n v="4"/>
  </r>
  <r>
    <x v="61"/>
    <x v="6"/>
    <x v="4"/>
    <x v="35"/>
    <x v="2"/>
    <x v="930"/>
    <x v="0"/>
    <x v="0"/>
    <x v="4"/>
    <s v="OPEX"/>
    <s v="Retainer"/>
    <x v="3"/>
    <n v="90"/>
    <x v="1"/>
    <n v="14"/>
  </r>
  <r>
    <x v="274"/>
    <x v="10"/>
    <x v="4"/>
    <x v="152"/>
    <x v="1"/>
    <x v="931"/>
    <x v="1"/>
    <x v="0"/>
    <x v="4"/>
    <s v="CAPEX"/>
    <s v="Fixed"/>
    <x v="2"/>
    <n v="30"/>
    <x v="1"/>
    <n v="19"/>
  </r>
  <r>
    <x v="5"/>
    <x v="11"/>
    <x v="0"/>
    <x v="220"/>
    <x v="1"/>
    <x v="932"/>
    <x v="0"/>
    <x v="1"/>
    <x v="3"/>
    <s v="OPEX"/>
    <s v="Variable"/>
    <x v="1"/>
    <n v="90"/>
    <x v="2"/>
    <n v="19"/>
  </r>
  <r>
    <x v="277"/>
    <x v="9"/>
    <x v="4"/>
    <x v="7"/>
    <x v="0"/>
    <x v="933"/>
    <x v="1"/>
    <x v="0"/>
    <x v="5"/>
    <s v="OPEX"/>
    <s v="Variable"/>
    <x v="1"/>
    <n v="45"/>
    <x v="0"/>
    <n v="19"/>
  </r>
  <r>
    <x v="247"/>
    <x v="3"/>
    <x v="4"/>
    <x v="299"/>
    <x v="0"/>
    <x v="934"/>
    <x v="1"/>
    <x v="1"/>
    <x v="0"/>
    <s v="CAPEX"/>
    <s v="Variable"/>
    <x v="0"/>
    <n v="60"/>
    <x v="1"/>
    <n v="5"/>
  </r>
  <r>
    <x v="27"/>
    <x v="3"/>
    <x v="2"/>
    <x v="402"/>
    <x v="2"/>
    <x v="935"/>
    <x v="1"/>
    <x v="1"/>
    <x v="2"/>
    <s v="CAPEX"/>
    <s v="Fixed"/>
    <x v="0"/>
    <n v="45"/>
    <x v="1"/>
    <n v="16"/>
  </r>
  <r>
    <x v="181"/>
    <x v="6"/>
    <x v="9"/>
    <x v="416"/>
    <x v="2"/>
    <x v="936"/>
    <x v="1"/>
    <x v="1"/>
    <x v="1"/>
    <s v="CAPEX"/>
    <s v="Fixed"/>
    <x v="1"/>
    <n v="30"/>
    <x v="1"/>
    <n v="10"/>
  </r>
  <r>
    <x v="258"/>
    <x v="3"/>
    <x v="7"/>
    <x v="354"/>
    <x v="1"/>
    <x v="937"/>
    <x v="1"/>
    <x v="1"/>
    <x v="5"/>
    <s v="CAPEX"/>
    <s v="Variable"/>
    <x v="3"/>
    <n v="45"/>
    <x v="2"/>
    <n v="12"/>
  </r>
  <r>
    <x v="151"/>
    <x v="7"/>
    <x v="1"/>
    <x v="108"/>
    <x v="2"/>
    <x v="938"/>
    <x v="1"/>
    <x v="0"/>
    <x v="3"/>
    <s v="OPEX"/>
    <s v="Retainer"/>
    <x v="1"/>
    <n v="90"/>
    <x v="2"/>
    <n v="7"/>
  </r>
  <r>
    <x v="21"/>
    <x v="8"/>
    <x v="3"/>
    <x v="240"/>
    <x v="2"/>
    <x v="939"/>
    <x v="1"/>
    <x v="0"/>
    <x v="1"/>
    <s v="OPEX"/>
    <s v="Variable"/>
    <x v="4"/>
    <n v="30"/>
    <x v="1"/>
    <n v="17"/>
  </r>
  <r>
    <x v="298"/>
    <x v="4"/>
    <x v="2"/>
    <x v="189"/>
    <x v="1"/>
    <x v="940"/>
    <x v="0"/>
    <x v="0"/>
    <x v="5"/>
    <s v="OPEX"/>
    <s v="Retainer"/>
    <x v="2"/>
    <n v="60"/>
    <x v="0"/>
    <n v="7"/>
  </r>
  <r>
    <x v="208"/>
    <x v="4"/>
    <x v="6"/>
    <x v="131"/>
    <x v="2"/>
    <x v="941"/>
    <x v="1"/>
    <x v="1"/>
    <x v="3"/>
    <s v="CAPEX"/>
    <s v="Variable"/>
    <x v="3"/>
    <n v="60"/>
    <x v="2"/>
    <n v="15"/>
  </r>
  <r>
    <x v="340"/>
    <x v="5"/>
    <x v="1"/>
    <x v="360"/>
    <x v="2"/>
    <x v="942"/>
    <x v="1"/>
    <x v="1"/>
    <x v="5"/>
    <s v="OPEX"/>
    <s v="Variable"/>
    <x v="3"/>
    <n v="60"/>
    <x v="0"/>
    <n v="18"/>
  </r>
  <r>
    <x v="29"/>
    <x v="7"/>
    <x v="4"/>
    <x v="20"/>
    <x v="1"/>
    <x v="943"/>
    <x v="0"/>
    <x v="1"/>
    <x v="1"/>
    <s v="OPEX"/>
    <s v="Variable"/>
    <x v="2"/>
    <n v="90"/>
    <x v="1"/>
    <n v="17"/>
  </r>
  <r>
    <x v="295"/>
    <x v="8"/>
    <x v="4"/>
    <x v="12"/>
    <x v="1"/>
    <x v="944"/>
    <x v="0"/>
    <x v="1"/>
    <x v="2"/>
    <s v="CAPEX"/>
    <s v="Fixed"/>
    <x v="1"/>
    <n v="30"/>
    <x v="2"/>
    <n v="19"/>
  </r>
  <r>
    <x v="66"/>
    <x v="2"/>
    <x v="5"/>
    <x v="105"/>
    <x v="0"/>
    <x v="945"/>
    <x v="0"/>
    <x v="1"/>
    <x v="3"/>
    <s v="CAPEX"/>
    <s v="Fixed"/>
    <x v="2"/>
    <n v="30"/>
    <x v="0"/>
    <n v="7"/>
  </r>
  <r>
    <x v="198"/>
    <x v="11"/>
    <x v="5"/>
    <x v="187"/>
    <x v="2"/>
    <x v="946"/>
    <x v="1"/>
    <x v="1"/>
    <x v="3"/>
    <s v="OPEX"/>
    <s v="Variable"/>
    <x v="2"/>
    <n v="45"/>
    <x v="0"/>
    <n v="6"/>
  </r>
  <r>
    <x v="204"/>
    <x v="0"/>
    <x v="8"/>
    <x v="285"/>
    <x v="0"/>
    <x v="947"/>
    <x v="1"/>
    <x v="1"/>
    <x v="3"/>
    <s v="OPEX"/>
    <s v="Fixed"/>
    <x v="0"/>
    <n v="30"/>
    <x v="0"/>
    <n v="20"/>
  </r>
  <r>
    <x v="48"/>
    <x v="3"/>
    <x v="4"/>
    <x v="177"/>
    <x v="1"/>
    <x v="948"/>
    <x v="1"/>
    <x v="0"/>
    <x v="5"/>
    <s v="OPEX"/>
    <s v="Variable"/>
    <x v="1"/>
    <n v="90"/>
    <x v="0"/>
    <n v="7"/>
  </r>
  <r>
    <x v="26"/>
    <x v="3"/>
    <x v="1"/>
    <x v="119"/>
    <x v="1"/>
    <x v="949"/>
    <x v="0"/>
    <x v="0"/>
    <x v="2"/>
    <s v="OPEX"/>
    <s v="Retainer"/>
    <x v="0"/>
    <n v="60"/>
    <x v="1"/>
    <n v="11"/>
  </r>
  <r>
    <x v="315"/>
    <x v="10"/>
    <x v="7"/>
    <x v="417"/>
    <x v="0"/>
    <x v="950"/>
    <x v="0"/>
    <x v="0"/>
    <x v="5"/>
    <s v="OPEX"/>
    <s v="Fixed"/>
    <x v="3"/>
    <n v="45"/>
    <x v="0"/>
    <n v="19"/>
  </r>
  <r>
    <x v="286"/>
    <x v="5"/>
    <x v="3"/>
    <x v="42"/>
    <x v="0"/>
    <x v="951"/>
    <x v="1"/>
    <x v="0"/>
    <x v="0"/>
    <s v="OPEX"/>
    <s v="Retainer"/>
    <x v="3"/>
    <n v="90"/>
    <x v="0"/>
    <n v="4"/>
  </r>
  <r>
    <x v="58"/>
    <x v="9"/>
    <x v="3"/>
    <x v="418"/>
    <x v="0"/>
    <x v="952"/>
    <x v="1"/>
    <x v="1"/>
    <x v="5"/>
    <s v="CAPEX"/>
    <s v="Retainer"/>
    <x v="1"/>
    <n v="45"/>
    <x v="1"/>
    <n v="3"/>
  </r>
  <r>
    <x v="274"/>
    <x v="6"/>
    <x v="9"/>
    <x v="326"/>
    <x v="0"/>
    <x v="953"/>
    <x v="0"/>
    <x v="0"/>
    <x v="5"/>
    <s v="OPEX"/>
    <s v="Fixed"/>
    <x v="2"/>
    <n v="45"/>
    <x v="2"/>
    <n v="8"/>
  </r>
  <r>
    <x v="139"/>
    <x v="10"/>
    <x v="2"/>
    <x v="395"/>
    <x v="1"/>
    <x v="954"/>
    <x v="1"/>
    <x v="0"/>
    <x v="4"/>
    <s v="CAPEX"/>
    <s v="Retainer"/>
    <x v="0"/>
    <n v="45"/>
    <x v="1"/>
    <n v="14"/>
  </r>
  <r>
    <x v="332"/>
    <x v="7"/>
    <x v="3"/>
    <x v="404"/>
    <x v="0"/>
    <x v="955"/>
    <x v="0"/>
    <x v="0"/>
    <x v="3"/>
    <s v="OPEX"/>
    <s v="Variable"/>
    <x v="1"/>
    <n v="90"/>
    <x v="0"/>
    <n v="18"/>
  </r>
  <r>
    <x v="60"/>
    <x v="9"/>
    <x v="0"/>
    <x v="44"/>
    <x v="0"/>
    <x v="956"/>
    <x v="1"/>
    <x v="0"/>
    <x v="3"/>
    <s v="CAPEX"/>
    <s v="Fixed"/>
    <x v="3"/>
    <n v="45"/>
    <x v="0"/>
    <n v="11"/>
  </r>
  <r>
    <x v="3"/>
    <x v="8"/>
    <x v="1"/>
    <x v="419"/>
    <x v="2"/>
    <x v="957"/>
    <x v="0"/>
    <x v="0"/>
    <x v="2"/>
    <s v="CAPEX"/>
    <s v="Fixed"/>
    <x v="4"/>
    <n v="60"/>
    <x v="0"/>
    <n v="18"/>
  </r>
  <r>
    <x v="207"/>
    <x v="11"/>
    <x v="3"/>
    <x v="47"/>
    <x v="2"/>
    <x v="958"/>
    <x v="0"/>
    <x v="0"/>
    <x v="5"/>
    <s v="CAPEX"/>
    <s v="Fixed"/>
    <x v="0"/>
    <n v="45"/>
    <x v="2"/>
    <n v="3"/>
  </r>
  <r>
    <x v="147"/>
    <x v="10"/>
    <x v="6"/>
    <x v="77"/>
    <x v="2"/>
    <x v="959"/>
    <x v="1"/>
    <x v="0"/>
    <x v="2"/>
    <s v="CAPEX"/>
    <s v="Fixed"/>
    <x v="0"/>
    <n v="45"/>
    <x v="2"/>
    <n v="9"/>
  </r>
  <r>
    <x v="262"/>
    <x v="6"/>
    <x v="0"/>
    <x v="420"/>
    <x v="0"/>
    <x v="960"/>
    <x v="0"/>
    <x v="0"/>
    <x v="0"/>
    <s v="CAPEX"/>
    <s v="Fixed"/>
    <x v="2"/>
    <n v="30"/>
    <x v="1"/>
    <n v="19"/>
  </r>
  <r>
    <x v="132"/>
    <x v="3"/>
    <x v="9"/>
    <x v="415"/>
    <x v="1"/>
    <x v="961"/>
    <x v="0"/>
    <x v="1"/>
    <x v="1"/>
    <s v="CAPEX"/>
    <s v="Variable"/>
    <x v="0"/>
    <n v="60"/>
    <x v="2"/>
    <n v="3"/>
  </r>
  <r>
    <x v="144"/>
    <x v="3"/>
    <x v="4"/>
    <x v="421"/>
    <x v="0"/>
    <x v="962"/>
    <x v="1"/>
    <x v="1"/>
    <x v="4"/>
    <s v="OPEX"/>
    <s v="Retainer"/>
    <x v="1"/>
    <n v="60"/>
    <x v="1"/>
    <n v="5"/>
  </r>
  <r>
    <x v="170"/>
    <x v="4"/>
    <x v="3"/>
    <x v="422"/>
    <x v="0"/>
    <x v="963"/>
    <x v="1"/>
    <x v="1"/>
    <x v="4"/>
    <s v="CAPEX"/>
    <s v="Variable"/>
    <x v="2"/>
    <n v="45"/>
    <x v="1"/>
    <n v="15"/>
  </r>
  <r>
    <x v="45"/>
    <x v="11"/>
    <x v="8"/>
    <x v="98"/>
    <x v="1"/>
    <x v="964"/>
    <x v="1"/>
    <x v="1"/>
    <x v="1"/>
    <s v="OPEX"/>
    <s v="Fixed"/>
    <x v="2"/>
    <n v="90"/>
    <x v="1"/>
    <n v="7"/>
  </r>
  <r>
    <x v="84"/>
    <x v="3"/>
    <x v="4"/>
    <x v="43"/>
    <x v="2"/>
    <x v="965"/>
    <x v="0"/>
    <x v="0"/>
    <x v="2"/>
    <s v="OPEX"/>
    <s v="Fixed"/>
    <x v="0"/>
    <n v="90"/>
    <x v="1"/>
    <n v="6"/>
  </r>
  <r>
    <x v="9"/>
    <x v="1"/>
    <x v="3"/>
    <x v="215"/>
    <x v="2"/>
    <x v="966"/>
    <x v="1"/>
    <x v="0"/>
    <x v="1"/>
    <s v="OPEX"/>
    <s v="Fixed"/>
    <x v="4"/>
    <n v="60"/>
    <x v="0"/>
    <n v="5"/>
  </r>
  <r>
    <x v="32"/>
    <x v="4"/>
    <x v="5"/>
    <x v="236"/>
    <x v="1"/>
    <x v="967"/>
    <x v="1"/>
    <x v="0"/>
    <x v="2"/>
    <s v="OPEX"/>
    <s v="Variable"/>
    <x v="1"/>
    <n v="30"/>
    <x v="2"/>
    <n v="11"/>
  </r>
  <r>
    <x v="203"/>
    <x v="1"/>
    <x v="3"/>
    <x v="397"/>
    <x v="2"/>
    <x v="968"/>
    <x v="1"/>
    <x v="1"/>
    <x v="0"/>
    <s v="OPEX"/>
    <s v="Variable"/>
    <x v="1"/>
    <n v="90"/>
    <x v="0"/>
    <n v="15"/>
  </r>
  <r>
    <x v="106"/>
    <x v="9"/>
    <x v="3"/>
    <x v="256"/>
    <x v="1"/>
    <x v="969"/>
    <x v="1"/>
    <x v="1"/>
    <x v="4"/>
    <s v="CAPEX"/>
    <s v="Retainer"/>
    <x v="1"/>
    <n v="60"/>
    <x v="0"/>
    <n v="15"/>
  </r>
  <r>
    <x v="118"/>
    <x v="1"/>
    <x v="5"/>
    <x v="258"/>
    <x v="2"/>
    <x v="970"/>
    <x v="1"/>
    <x v="0"/>
    <x v="3"/>
    <s v="OPEX"/>
    <s v="Variable"/>
    <x v="0"/>
    <n v="30"/>
    <x v="0"/>
    <n v="14"/>
  </r>
  <r>
    <x v="118"/>
    <x v="11"/>
    <x v="4"/>
    <x v="168"/>
    <x v="0"/>
    <x v="971"/>
    <x v="1"/>
    <x v="1"/>
    <x v="5"/>
    <s v="OPEX"/>
    <s v="Retainer"/>
    <x v="0"/>
    <n v="60"/>
    <x v="0"/>
    <n v="18"/>
  </r>
  <r>
    <x v="9"/>
    <x v="11"/>
    <x v="5"/>
    <x v="423"/>
    <x v="2"/>
    <x v="972"/>
    <x v="0"/>
    <x v="0"/>
    <x v="5"/>
    <s v="OPEX"/>
    <s v="Fixed"/>
    <x v="0"/>
    <n v="30"/>
    <x v="1"/>
    <n v="14"/>
  </r>
  <r>
    <x v="305"/>
    <x v="2"/>
    <x v="7"/>
    <x v="423"/>
    <x v="1"/>
    <x v="973"/>
    <x v="0"/>
    <x v="1"/>
    <x v="4"/>
    <s v="CAPEX"/>
    <s v="Fixed"/>
    <x v="1"/>
    <n v="90"/>
    <x v="2"/>
    <n v="8"/>
  </r>
  <r>
    <x v="221"/>
    <x v="9"/>
    <x v="5"/>
    <x v="305"/>
    <x v="2"/>
    <x v="974"/>
    <x v="0"/>
    <x v="0"/>
    <x v="1"/>
    <s v="CAPEX"/>
    <s v="Fixed"/>
    <x v="2"/>
    <n v="45"/>
    <x v="1"/>
    <n v="4"/>
  </r>
  <r>
    <x v="205"/>
    <x v="7"/>
    <x v="2"/>
    <x v="153"/>
    <x v="2"/>
    <x v="975"/>
    <x v="1"/>
    <x v="1"/>
    <x v="1"/>
    <s v="CAPEX"/>
    <s v="Variable"/>
    <x v="2"/>
    <n v="90"/>
    <x v="2"/>
    <n v="13"/>
  </r>
  <r>
    <x v="341"/>
    <x v="6"/>
    <x v="3"/>
    <x v="51"/>
    <x v="0"/>
    <x v="976"/>
    <x v="1"/>
    <x v="1"/>
    <x v="0"/>
    <s v="OPEX"/>
    <s v="Retainer"/>
    <x v="3"/>
    <n v="45"/>
    <x v="2"/>
    <n v="17"/>
  </r>
  <r>
    <x v="185"/>
    <x v="8"/>
    <x v="9"/>
    <x v="196"/>
    <x v="1"/>
    <x v="977"/>
    <x v="0"/>
    <x v="1"/>
    <x v="2"/>
    <s v="OPEX"/>
    <s v="Fixed"/>
    <x v="0"/>
    <n v="30"/>
    <x v="2"/>
    <n v="13"/>
  </r>
  <r>
    <x v="274"/>
    <x v="0"/>
    <x v="7"/>
    <x v="381"/>
    <x v="0"/>
    <x v="978"/>
    <x v="0"/>
    <x v="1"/>
    <x v="5"/>
    <s v="CAPEX"/>
    <s v="Fixed"/>
    <x v="1"/>
    <n v="90"/>
    <x v="0"/>
    <n v="10"/>
  </r>
  <r>
    <x v="342"/>
    <x v="7"/>
    <x v="8"/>
    <x v="51"/>
    <x v="1"/>
    <x v="979"/>
    <x v="1"/>
    <x v="1"/>
    <x v="5"/>
    <s v="OPEX"/>
    <s v="Retainer"/>
    <x v="1"/>
    <n v="45"/>
    <x v="0"/>
    <n v="6"/>
  </r>
  <r>
    <x v="142"/>
    <x v="7"/>
    <x v="5"/>
    <x v="220"/>
    <x v="0"/>
    <x v="980"/>
    <x v="1"/>
    <x v="0"/>
    <x v="1"/>
    <s v="OPEX"/>
    <s v="Variable"/>
    <x v="2"/>
    <n v="45"/>
    <x v="0"/>
    <n v="11"/>
  </r>
  <r>
    <x v="169"/>
    <x v="2"/>
    <x v="9"/>
    <x v="47"/>
    <x v="0"/>
    <x v="981"/>
    <x v="0"/>
    <x v="1"/>
    <x v="2"/>
    <s v="OPEX"/>
    <s v="Retainer"/>
    <x v="3"/>
    <n v="30"/>
    <x v="0"/>
    <n v="3"/>
  </r>
  <r>
    <x v="95"/>
    <x v="4"/>
    <x v="0"/>
    <x v="93"/>
    <x v="1"/>
    <x v="982"/>
    <x v="1"/>
    <x v="0"/>
    <x v="1"/>
    <s v="CAPEX"/>
    <s v="Variable"/>
    <x v="3"/>
    <n v="30"/>
    <x v="0"/>
    <n v="14"/>
  </r>
  <r>
    <x v="251"/>
    <x v="5"/>
    <x v="5"/>
    <x v="138"/>
    <x v="0"/>
    <x v="983"/>
    <x v="1"/>
    <x v="0"/>
    <x v="1"/>
    <s v="CAPEX"/>
    <s v="Variable"/>
    <x v="3"/>
    <n v="90"/>
    <x v="2"/>
    <n v="16"/>
  </r>
  <r>
    <x v="198"/>
    <x v="2"/>
    <x v="1"/>
    <x v="403"/>
    <x v="2"/>
    <x v="984"/>
    <x v="1"/>
    <x v="1"/>
    <x v="5"/>
    <s v="CAPEX"/>
    <s v="Variable"/>
    <x v="0"/>
    <n v="90"/>
    <x v="1"/>
    <n v="11"/>
  </r>
  <r>
    <x v="69"/>
    <x v="4"/>
    <x v="2"/>
    <x v="92"/>
    <x v="0"/>
    <x v="985"/>
    <x v="0"/>
    <x v="1"/>
    <x v="2"/>
    <s v="CAPEX"/>
    <s v="Variable"/>
    <x v="1"/>
    <n v="60"/>
    <x v="2"/>
    <n v="9"/>
  </r>
  <r>
    <x v="83"/>
    <x v="7"/>
    <x v="3"/>
    <x v="207"/>
    <x v="1"/>
    <x v="986"/>
    <x v="0"/>
    <x v="1"/>
    <x v="0"/>
    <s v="CAPEX"/>
    <s v="Fixed"/>
    <x v="2"/>
    <n v="30"/>
    <x v="1"/>
    <n v="9"/>
  </r>
  <r>
    <x v="143"/>
    <x v="2"/>
    <x v="9"/>
    <x v="424"/>
    <x v="2"/>
    <x v="987"/>
    <x v="0"/>
    <x v="0"/>
    <x v="2"/>
    <s v="CAPEX"/>
    <s v="Variable"/>
    <x v="1"/>
    <n v="60"/>
    <x v="1"/>
    <n v="5"/>
  </r>
  <r>
    <x v="189"/>
    <x v="0"/>
    <x v="3"/>
    <x v="149"/>
    <x v="0"/>
    <x v="988"/>
    <x v="1"/>
    <x v="1"/>
    <x v="2"/>
    <s v="OPEX"/>
    <s v="Fixed"/>
    <x v="1"/>
    <n v="30"/>
    <x v="2"/>
    <n v="4"/>
  </r>
  <r>
    <x v="49"/>
    <x v="0"/>
    <x v="3"/>
    <x v="152"/>
    <x v="1"/>
    <x v="989"/>
    <x v="1"/>
    <x v="1"/>
    <x v="3"/>
    <s v="CAPEX"/>
    <s v="Variable"/>
    <x v="2"/>
    <n v="60"/>
    <x v="2"/>
    <n v="9"/>
  </r>
  <r>
    <x v="166"/>
    <x v="10"/>
    <x v="9"/>
    <x v="216"/>
    <x v="1"/>
    <x v="990"/>
    <x v="1"/>
    <x v="1"/>
    <x v="1"/>
    <s v="CAPEX"/>
    <s v="Variable"/>
    <x v="0"/>
    <n v="90"/>
    <x v="1"/>
    <n v="19"/>
  </r>
  <r>
    <x v="48"/>
    <x v="3"/>
    <x v="0"/>
    <x v="420"/>
    <x v="2"/>
    <x v="991"/>
    <x v="0"/>
    <x v="0"/>
    <x v="5"/>
    <s v="CAPEX"/>
    <s v="Variable"/>
    <x v="1"/>
    <n v="60"/>
    <x v="1"/>
    <n v="19"/>
  </r>
  <r>
    <x v="238"/>
    <x v="10"/>
    <x v="1"/>
    <x v="220"/>
    <x v="0"/>
    <x v="992"/>
    <x v="1"/>
    <x v="0"/>
    <x v="4"/>
    <s v="OPEX"/>
    <s v="Retainer"/>
    <x v="2"/>
    <n v="60"/>
    <x v="1"/>
    <n v="17"/>
  </r>
  <r>
    <x v="343"/>
    <x v="5"/>
    <x v="2"/>
    <x v="86"/>
    <x v="2"/>
    <x v="993"/>
    <x v="0"/>
    <x v="1"/>
    <x v="4"/>
    <s v="OPEX"/>
    <s v="Retainer"/>
    <x v="3"/>
    <n v="30"/>
    <x v="1"/>
    <n v="16"/>
  </r>
  <r>
    <x v="74"/>
    <x v="10"/>
    <x v="1"/>
    <x v="373"/>
    <x v="0"/>
    <x v="994"/>
    <x v="0"/>
    <x v="1"/>
    <x v="2"/>
    <s v="OPEX"/>
    <s v="Retainer"/>
    <x v="1"/>
    <n v="90"/>
    <x v="1"/>
    <n v="3"/>
  </r>
  <r>
    <x v="232"/>
    <x v="2"/>
    <x v="9"/>
    <x v="387"/>
    <x v="0"/>
    <x v="995"/>
    <x v="0"/>
    <x v="1"/>
    <x v="1"/>
    <s v="OPEX"/>
    <s v="Variable"/>
    <x v="0"/>
    <n v="30"/>
    <x v="1"/>
    <n v="17"/>
  </r>
  <r>
    <x v="91"/>
    <x v="11"/>
    <x v="3"/>
    <x v="401"/>
    <x v="1"/>
    <x v="996"/>
    <x v="1"/>
    <x v="0"/>
    <x v="4"/>
    <s v="OPEX"/>
    <s v="Retainer"/>
    <x v="3"/>
    <n v="60"/>
    <x v="1"/>
    <n v="14"/>
  </r>
  <r>
    <x v="288"/>
    <x v="4"/>
    <x v="3"/>
    <x v="425"/>
    <x v="2"/>
    <x v="997"/>
    <x v="1"/>
    <x v="0"/>
    <x v="5"/>
    <s v="CAPEX"/>
    <s v="Retainer"/>
    <x v="1"/>
    <n v="45"/>
    <x v="0"/>
    <n v="7"/>
  </r>
  <r>
    <x v="71"/>
    <x v="4"/>
    <x v="9"/>
    <x v="329"/>
    <x v="0"/>
    <x v="998"/>
    <x v="1"/>
    <x v="1"/>
    <x v="1"/>
    <s v="CAPEX"/>
    <s v="Retainer"/>
    <x v="2"/>
    <n v="90"/>
    <x v="1"/>
    <n v="20"/>
  </r>
  <r>
    <x v="184"/>
    <x v="10"/>
    <x v="5"/>
    <x v="335"/>
    <x v="1"/>
    <x v="999"/>
    <x v="0"/>
    <x v="0"/>
    <x v="4"/>
    <s v="OPEX"/>
    <s v="Fixed"/>
    <x v="1"/>
    <n v="60"/>
    <x v="1"/>
    <n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00C7D1-9282-451B-99E7-6A415775940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8:C29" firstHeaderRow="0" firstDataRow="1" firstDataCol="1"/>
  <pivotFields count="17">
    <pivotField numFmtId="164" showAll="0">
      <items count="345">
        <item x="85"/>
        <item x="23"/>
        <item x="144"/>
        <item x="195"/>
        <item x="230"/>
        <item x="261"/>
        <item x="22"/>
        <item x="20"/>
        <item x="289"/>
        <item x="94"/>
        <item x="337"/>
        <item x="154"/>
        <item x="247"/>
        <item x="329"/>
        <item x="56"/>
        <item x="287"/>
        <item x="28"/>
        <item x="204"/>
        <item x="83"/>
        <item x="102"/>
        <item x="18"/>
        <item x="231"/>
        <item x="15"/>
        <item x="1"/>
        <item x="244"/>
        <item x="158"/>
        <item x="303"/>
        <item x="175"/>
        <item x="39"/>
        <item x="183"/>
        <item x="6"/>
        <item x="269"/>
        <item x="260"/>
        <item x="184"/>
        <item x="340"/>
        <item x="155"/>
        <item x="57"/>
        <item x="266"/>
        <item x="257"/>
        <item x="147"/>
        <item x="279"/>
        <item x="50"/>
        <item x="53"/>
        <item x="129"/>
        <item x="0"/>
        <item x="12"/>
        <item x="2"/>
        <item x="43"/>
        <item x="273"/>
        <item x="176"/>
        <item x="174"/>
        <item x="73"/>
        <item x="328"/>
        <item x="59"/>
        <item x="66"/>
        <item x="274"/>
        <item x="264"/>
        <item x="173"/>
        <item x="113"/>
        <item x="343"/>
        <item x="178"/>
        <item x="216"/>
        <item x="4"/>
        <item x="7"/>
        <item x="233"/>
        <item x="188"/>
        <item x="271"/>
        <item x="207"/>
        <item x="313"/>
        <item x="321"/>
        <item x="220"/>
        <item x="127"/>
        <item x="140"/>
        <item x="118"/>
        <item x="290"/>
        <item x="177"/>
        <item x="278"/>
        <item x="21"/>
        <item x="51"/>
        <item x="130"/>
        <item x="34"/>
        <item x="89"/>
        <item x="169"/>
        <item x="48"/>
        <item x="302"/>
        <item x="29"/>
        <item x="101"/>
        <item x="206"/>
        <item x="282"/>
        <item x="251"/>
        <item x="341"/>
        <item x="310"/>
        <item x="152"/>
        <item x="45"/>
        <item x="98"/>
        <item x="16"/>
        <item x="150"/>
        <item x="307"/>
        <item x="187"/>
        <item x="67"/>
        <item x="170"/>
        <item x="68"/>
        <item x="258"/>
        <item x="112"/>
        <item x="69"/>
        <item x="239"/>
        <item x="106"/>
        <item x="49"/>
        <item x="95"/>
        <item x="338"/>
        <item x="210"/>
        <item x="109"/>
        <item x="327"/>
        <item x="145"/>
        <item x="200"/>
        <item x="5"/>
        <item x="47"/>
        <item x="30"/>
        <item x="134"/>
        <item x="281"/>
        <item x="285"/>
        <item x="288"/>
        <item x="333"/>
        <item x="179"/>
        <item x="17"/>
        <item x="309"/>
        <item x="92"/>
        <item x="306"/>
        <item x="27"/>
        <item x="241"/>
        <item x="226"/>
        <item x="31"/>
        <item x="124"/>
        <item x="312"/>
        <item x="37"/>
        <item x="80"/>
        <item x="331"/>
        <item x="212"/>
        <item x="61"/>
        <item x="32"/>
        <item x="136"/>
        <item x="325"/>
        <item x="3"/>
        <item x="209"/>
        <item x="292"/>
        <item x="142"/>
        <item x="41"/>
        <item x="330"/>
        <item x="246"/>
        <item x="213"/>
        <item x="286"/>
        <item x="107"/>
        <item x="62"/>
        <item x="324"/>
        <item x="156"/>
        <item x="137"/>
        <item x="243"/>
        <item x="256"/>
        <item x="265"/>
        <item x="320"/>
        <item x="319"/>
        <item x="149"/>
        <item x="78"/>
        <item x="36"/>
        <item x="342"/>
        <item x="186"/>
        <item x="86"/>
        <item x="38"/>
        <item x="228"/>
        <item x="194"/>
        <item x="103"/>
        <item x="317"/>
        <item x="255"/>
        <item x="322"/>
        <item x="227"/>
        <item x="240"/>
        <item x="164"/>
        <item x="123"/>
        <item x="52"/>
        <item x="157"/>
        <item x="182"/>
        <item x="24"/>
        <item x="90"/>
        <item x="316"/>
        <item x="180"/>
        <item x="284"/>
        <item x="203"/>
        <item x="305"/>
        <item x="249"/>
        <item x="160"/>
        <item x="70"/>
        <item x="72"/>
        <item x="301"/>
        <item x="314"/>
        <item x="193"/>
        <item x="198"/>
        <item x="111"/>
        <item x="104"/>
        <item x="114"/>
        <item x="263"/>
        <item x="242"/>
        <item x="295"/>
        <item x="97"/>
        <item x="225"/>
        <item x="293"/>
        <item x="44"/>
        <item x="105"/>
        <item x="128"/>
        <item x="280"/>
        <item x="133"/>
        <item x="224"/>
        <item x="132"/>
        <item x="19"/>
        <item x="159"/>
        <item x="229"/>
        <item x="108"/>
        <item x="235"/>
        <item x="222"/>
        <item x="116"/>
        <item x="181"/>
        <item x="332"/>
        <item x="119"/>
        <item x="161"/>
        <item x="153"/>
        <item x="300"/>
        <item x="192"/>
        <item x="167"/>
        <item x="335"/>
        <item x="81"/>
        <item x="323"/>
        <item x="121"/>
        <item x="267"/>
        <item x="8"/>
        <item x="196"/>
        <item x="33"/>
        <item x="82"/>
        <item x="162"/>
        <item x="275"/>
        <item x="26"/>
        <item x="9"/>
        <item x="143"/>
        <item x="202"/>
        <item x="42"/>
        <item x="211"/>
        <item x="64"/>
        <item x="315"/>
        <item x="294"/>
        <item x="197"/>
        <item x="122"/>
        <item x="117"/>
        <item x="165"/>
        <item x="75"/>
        <item x="84"/>
        <item x="277"/>
        <item x="185"/>
        <item x="259"/>
        <item x="40"/>
        <item x="201"/>
        <item x="253"/>
        <item x="214"/>
        <item x="208"/>
        <item x="126"/>
        <item x="71"/>
        <item x="191"/>
        <item x="146"/>
        <item x="283"/>
        <item x="58"/>
        <item x="236"/>
        <item x="76"/>
        <item x="63"/>
        <item x="74"/>
        <item x="138"/>
        <item x="120"/>
        <item x="268"/>
        <item x="238"/>
        <item x="148"/>
        <item x="219"/>
        <item x="10"/>
        <item x="270"/>
        <item x="339"/>
        <item x="55"/>
        <item x="131"/>
        <item x="25"/>
        <item x="245"/>
        <item x="276"/>
        <item x="151"/>
        <item x="318"/>
        <item x="93"/>
        <item x="334"/>
        <item x="326"/>
        <item x="65"/>
        <item x="234"/>
        <item x="262"/>
        <item x="96"/>
        <item x="336"/>
        <item x="46"/>
        <item x="35"/>
        <item x="291"/>
        <item x="135"/>
        <item x="254"/>
        <item x="88"/>
        <item x="163"/>
        <item x="252"/>
        <item x="60"/>
        <item x="172"/>
        <item x="272"/>
        <item x="139"/>
        <item x="13"/>
        <item x="141"/>
        <item x="237"/>
        <item x="11"/>
        <item x="87"/>
        <item x="297"/>
        <item x="110"/>
        <item x="304"/>
        <item x="215"/>
        <item x="171"/>
        <item x="299"/>
        <item x="223"/>
        <item x="296"/>
        <item x="168"/>
        <item x="190"/>
        <item x="205"/>
        <item x="217"/>
        <item x="199"/>
        <item x="189"/>
        <item x="311"/>
        <item x="232"/>
        <item x="166"/>
        <item x="298"/>
        <item x="125"/>
        <item x="77"/>
        <item x="221"/>
        <item x="14"/>
        <item x="308"/>
        <item x="248"/>
        <item x="250"/>
        <item x="79"/>
        <item x="99"/>
        <item x="218"/>
        <item x="115"/>
        <item x="54"/>
        <item x="100"/>
        <item x="91"/>
        <item t="default"/>
      </items>
    </pivotField>
    <pivotField showAll="0"/>
    <pivotField axis="axisRow" showAll="0">
      <items count="11">
        <item x="6"/>
        <item x="7"/>
        <item x="9"/>
        <item x="2"/>
        <item x="4"/>
        <item x="0"/>
        <item x="5"/>
        <item x="1"/>
        <item x="3"/>
        <item x="8"/>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Sum of Amount" fld="3" baseField="0" baseItem="0" numFmtId="3"/>
    <dataField name="Sum of Amount2" fld="3" showDataAs="percentOfTotal" baseField="0" baseItem="0" numFmtId="10"/>
  </dataFields>
  <formats count="3">
    <format dxfId="8">
      <pivotArea collapsedLevelsAreSubtotals="1" fieldPosition="0">
        <references count="1">
          <reference field="2" count="0"/>
        </references>
      </pivotArea>
    </format>
    <format dxfId="7">
      <pivotArea outline="0" fieldPosition="0">
        <references count="1">
          <reference field="4294967294" count="1">
            <x v="0"/>
          </reference>
        </references>
      </pivotArea>
    </format>
    <format dxfId="6">
      <pivotArea outline="0" fieldPosition="0">
        <references count="1">
          <reference field="4294967294" count="1">
            <x v="1"/>
          </reference>
        </references>
      </pivotArea>
    </format>
  </formats>
  <conditionalFormats count="5">
    <conditionalFormat priority="6">
      <pivotAreas count="1">
        <pivotArea type="data" collapsedLevelsAreSubtotals="1" fieldPosition="0">
          <references count="2">
            <reference field="4294967294" count="1" selected="0">
              <x v="1"/>
            </reference>
            <reference field="2" count="10">
              <x v="0"/>
              <x v="1"/>
              <x v="2"/>
              <x v="3"/>
              <x v="4"/>
              <x v="5"/>
              <x v="6"/>
              <x v="7"/>
              <x v="8"/>
              <x v="9"/>
            </reference>
          </references>
        </pivotArea>
      </pivotAreas>
    </conditionalFormat>
    <conditionalFormat priority="5">
      <pivotAreas count="1">
        <pivotArea type="data" collapsedLevelsAreSubtotals="1" fieldPosition="0">
          <references count="2">
            <reference field="4294967294" count="1" selected="0">
              <x v="1"/>
            </reference>
            <reference field="2" count="10">
              <x v="0"/>
              <x v="1"/>
              <x v="2"/>
              <x v="3"/>
              <x v="4"/>
              <x v="5"/>
              <x v="6"/>
              <x v="7"/>
              <x v="8"/>
              <x v="9"/>
            </reference>
          </references>
        </pivotArea>
      </pivotAreas>
    </conditionalFormat>
    <conditionalFormat priority="4">
      <pivotAreas count="1">
        <pivotArea type="data" collapsedLevelsAreSubtotals="1" fieldPosition="0">
          <references count="2">
            <reference field="4294967294" count="1" selected="0">
              <x v="1"/>
            </reference>
            <reference field="2" count="10">
              <x v="0"/>
              <x v="1"/>
              <x v="2"/>
              <x v="3"/>
              <x v="4"/>
              <x v="5"/>
              <x v="6"/>
              <x v="7"/>
              <x v="8"/>
              <x v="9"/>
            </reference>
          </references>
        </pivotArea>
      </pivotAreas>
    </conditionalFormat>
    <conditionalFormat priority="2">
      <pivotAreas count="1">
        <pivotArea type="data" collapsedLevelsAreSubtotals="1" fieldPosition="0">
          <references count="2">
            <reference field="4294967294" count="1" selected="0">
              <x v="1"/>
            </reference>
            <reference field="2" count="10">
              <x v="0"/>
              <x v="1"/>
              <x v="2"/>
              <x v="3"/>
              <x v="4"/>
              <x v="5"/>
              <x v="6"/>
              <x v="7"/>
              <x v="8"/>
              <x v="9"/>
            </reference>
          </references>
        </pivotArea>
      </pivotAreas>
    </conditionalFormat>
    <conditionalFormat priority="1">
      <pivotAreas count="1">
        <pivotArea type="data" collapsedLevelsAreSubtotals="1" fieldPosition="0">
          <references count="2">
            <reference field="4294967294" count="1" selected="0">
              <x v="1"/>
            </reference>
            <reference field="2" count="10">
              <x v="0"/>
              <x v="1"/>
              <x v="2"/>
              <x v="3"/>
              <x v="4"/>
              <x v="5"/>
              <x v="6"/>
              <x v="7"/>
              <x v="8"/>
              <x v="9"/>
            </reference>
          </references>
        </pivotArea>
      </pivotAreas>
    </conditionalFormat>
  </conditional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57BB35-A996-40B0-8D07-4F053DE928D7}"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19:H33" firstHeaderRow="1" firstDataRow="2" firstDataCol="1"/>
  <pivotFields count="17">
    <pivotField numFmtId="164" showAll="0">
      <items count="345">
        <item x="85"/>
        <item x="23"/>
        <item x="144"/>
        <item x="195"/>
        <item x="230"/>
        <item x="261"/>
        <item x="22"/>
        <item x="20"/>
        <item x="289"/>
        <item x="94"/>
        <item x="337"/>
        <item x="154"/>
        <item x="247"/>
        <item x="329"/>
        <item x="56"/>
        <item x="287"/>
        <item x="28"/>
        <item x="204"/>
        <item x="83"/>
        <item x="102"/>
        <item x="18"/>
        <item x="231"/>
        <item x="15"/>
        <item x="1"/>
        <item x="244"/>
        <item x="158"/>
        <item x="303"/>
        <item x="175"/>
        <item x="39"/>
        <item x="183"/>
        <item x="6"/>
        <item x="269"/>
        <item x="260"/>
        <item x="184"/>
        <item x="340"/>
        <item x="155"/>
        <item x="57"/>
        <item x="266"/>
        <item x="257"/>
        <item x="147"/>
        <item x="279"/>
        <item x="50"/>
        <item x="53"/>
        <item x="129"/>
        <item x="0"/>
        <item x="12"/>
        <item x="2"/>
        <item x="43"/>
        <item x="273"/>
        <item x="176"/>
        <item x="174"/>
        <item x="73"/>
        <item x="328"/>
        <item x="59"/>
        <item x="66"/>
        <item x="274"/>
        <item x="264"/>
        <item x="173"/>
        <item x="113"/>
        <item x="343"/>
        <item x="178"/>
        <item x="216"/>
        <item x="4"/>
        <item x="7"/>
        <item x="233"/>
        <item x="188"/>
        <item x="271"/>
        <item x="207"/>
        <item x="313"/>
        <item x="321"/>
        <item x="220"/>
        <item x="127"/>
        <item x="140"/>
        <item x="118"/>
        <item x="290"/>
        <item x="177"/>
        <item x="278"/>
        <item x="21"/>
        <item x="51"/>
        <item x="130"/>
        <item x="34"/>
        <item x="89"/>
        <item x="169"/>
        <item x="48"/>
        <item x="302"/>
        <item x="29"/>
        <item x="101"/>
        <item x="206"/>
        <item x="282"/>
        <item x="251"/>
        <item x="341"/>
        <item x="310"/>
        <item x="152"/>
        <item x="45"/>
        <item x="98"/>
        <item x="16"/>
        <item x="150"/>
        <item x="307"/>
        <item x="187"/>
        <item x="67"/>
        <item x="170"/>
        <item x="68"/>
        <item x="258"/>
        <item x="112"/>
        <item x="69"/>
        <item x="239"/>
        <item x="106"/>
        <item x="49"/>
        <item x="95"/>
        <item x="338"/>
        <item x="210"/>
        <item x="109"/>
        <item x="327"/>
        <item x="145"/>
        <item x="200"/>
        <item x="5"/>
        <item x="47"/>
        <item x="30"/>
        <item x="134"/>
        <item x="281"/>
        <item x="285"/>
        <item x="288"/>
        <item x="333"/>
        <item x="179"/>
        <item x="17"/>
        <item x="309"/>
        <item x="92"/>
        <item x="306"/>
        <item x="27"/>
        <item x="241"/>
        <item x="226"/>
        <item x="31"/>
        <item x="124"/>
        <item x="312"/>
        <item x="37"/>
        <item x="80"/>
        <item x="331"/>
        <item x="212"/>
        <item x="61"/>
        <item x="32"/>
        <item x="136"/>
        <item x="325"/>
        <item x="3"/>
        <item x="209"/>
        <item x="292"/>
        <item x="142"/>
        <item x="41"/>
        <item x="330"/>
        <item x="246"/>
        <item x="213"/>
        <item x="286"/>
        <item x="107"/>
        <item x="62"/>
        <item x="324"/>
        <item x="156"/>
        <item x="137"/>
        <item x="243"/>
        <item x="256"/>
        <item x="265"/>
        <item x="320"/>
        <item x="319"/>
        <item x="149"/>
        <item x="78"/>
        <item x="36"/>
        <item x="342"/>
        <item x="186"/>
        <item x="86"/>
        <item x="38"/>
        <item x="228"/>
        <item x="194"/>
        <item x="103"/>
        <item x="317"/>
        <item x="255"/>
        <item x="322"/>
        <item x="227"/>
        <item x="240"/>
        <item x="164"/>
        <item x="123"/>
        <item x="52"/>
        <item x="157"/>
        <item x="182"/>
        <item x="24"/>
        <item x="90"/>
        <item x="316"/>
        <item x="180"/>
        <item x="284"/>
        <item x="203"/>
        <item x="305"/>
        <item x="249"/>
        <item x="160"/>
        <item x="70"/>
        <item x="72"/>
        <item x="301"/>
        <item x="314"/>
        <item x="193"/>
        <item x="198"/>
        <item x="111"/>
        <item x="104"/>
        <item x="114"/>
        <item x="263"/>
        <item x="242"/>
        <item x="295"/>
        <item x="97"/>
        <item x="225"/>
        <item x="293"/>
        <item x="44"/>
        <item x="105"/>
        <item x="128"/>
        <item x="280"/>
        <item x="133"/>
        <item x="224"/>
        <item x="132"/>
        <item x="19"/>
        <item x="159"/>
        <item x="229"/>
        <item x="108"/>
        <item x="235"/>
        <item x="222"/>
        <item x="116"/>
        <item x="181"/>
        <item x="332"/>
        <item x="119"/>
        <item x="161"/>
        <item x="153"/>
        <item x="300"/>
        <item x="192"/>
        <item x="167"/>
        <item x="335"/>
        <item x="81"/>
        <item x="323"/>
        <item x="121"/>
        <item x="267"/>
        <item x="8"/>
        <item x="196"/>
        <item x="33"/>
        <item x="82"/>
        <item x="162"/>
        <item x="275"/>
        <item x="26"/>
        <item x="9"/>
        <item x="143"/>
        <item x="202"/>
        <item x="42"/>
        <item x="211"/>
        <item x="64"/>
        <item x="315"/>
        <item x="294"/>
        <item x="197"/>
        <item x="122"/>
        <item x="117"/>
        <item x="165"/>
        <item x="75"/>
        <item x="84"/>
        <item x="277"/>
        <item x="185"/>
        <item x="259"/>
        <item x="40"/>
        <item x="201"/>
        <item x="253"/>
        <item x="214"/>
        <item x="208"/>
        <item x="126"/>
        <item x="71"/>
        <item x="191"/>
        <item x="146"/>
        <item x="283"/>
        <item x="58"/>
        <item x="236"/>
        <item x="76"/>
        <item x="63"/>
        <item x="74"/>
        <item x="138"/>
        <item x="120"/>
        <item x="268"/>
        <item x="238"/>
        <item x="148"/>
        <item x="219"/>
        <item x="10"/>
        <item x="270"/>
        <item x="339"/>
        <item x="55"/>
        <item x="131"/>
        <item x="25"/>
        <item x="245"/>
        <item x="276"/>
        <item x="151"/>
        <item x="318"/>
        <item x="93"/>
        <item x="334"/>
        <item x="326"/>
        <item x="65"/>
        <item x="234"/>
        <item x="262"/>
        <item x="96"/>
        <item x="336"/>
        <item x="46"/>
        <item x="35"/>
        <item x="291"/>
        <item x="135"/>
        <item x="254"/>
        <item x="88"/>
        <item x="163"/>
        <item x="252"/>
        <item x="60"/>
        <item x="172"/>
        <item x="272"/>
        <item x="139"/>
        <item x="13"/>
        <item x="141"/>
        <item x="237"/>
        <item x="11"/>
        <item x="87"/>
        <item x="297"/>
        <item x="110"/>
        <item x="304"/>
        <item x="215"/>
        <item x="171"/>
        <item x="299"/>
        <item x="223"/>
        <item x="296"/>
        <item x="168"/>
        <item x="190"/>
        <item x="205"/>
        <item x="217"/>
        <item x="199"/>
        <item x="189"/>
        <item x="311"/>
        <item x="232"/>
        <item x="166"/>
        <item x="298"/>
        <item x="125"/>
        <item x="77"/>
        <item x="221"/>
        <item x="14"/>
        <item x="308"/>
        <item x="248"/>
        <item x="250"/>
        <item x="79"/>
        <item x="99"/>
        <item x="218"/>
        <item x="115"/>
        <item x="54"/>
        <item x="100"/>
        <item x="91"/>
        <item t="default"/>
      </items>
    </pivotField>
    <pivotField axis="axisRow" showAll="0">
      <items count="13">
        <item x="11"/>
        <item x="1"/>
        <item x="4"/>
        <item x="3"/>
        <item x="2"/>
        <item x="7"/>
        <item x="0"/>
        <item x="6"/>
        <item x="10"/>
        <item x="8"/>
        <item x="9"/>
        <item x="5"/>
        <item t="default"/>
      </items>
    </pivotField>
    <pivotField showAll="0"/>
    <pivotField dataField="1" showAll="0"/>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13">
    <i>
      <x/>
    </i>
    <i>
      <x v="1"/>
    </i>
    <i>
      <x v="2"/>
    </i>
    <i>
      <x v="3"/>
    </i>
    <i>
      <x v="4"/>
    </i>
    <i>
      <x v="5"/>
    </i>
    <i>
      <x v="6"/>
    </i>
    <i>
      <x v="7"/>
    </i>
    <i>
      <x v="8"/>
    </i>
    <i>
      <x v="9"/>
    </i>
    <i>
      <x v="10"/>
    </i>
    <i>
      <x v="11"/>
    </i>
    <i t="grand">
      <x/>
    </i>
  </rowItems>
  <colFields count="1">
    <field x="7"/>
  </colFields>
  <colItems count="3">
    <i>
      <x/>
    </i>
    <i>
      <x v="1"/>
    </i>
    <i t="grand">
      <x/>
    </i>
  </colItems>
  <dataFields count="1">
    <dataField name="Sum of Amount" fld="3" baseField="0" baseItem="0" numFmtId="3"/>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2" format="4" series="1">
      <pivotArea type="data" outline="0" fieldPosition="0">
        <references count="2">
          <reference field="4294967294" count="1" selected="0">
            <x v="0"/>
          </reference>
          <reference field="7" count="1" selected="0">
            <x v="0"/>
          </reference>
        </references>
      </pivotArea>
    </chartFormat>
    <chartFormat chart="2"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6D2866-9C94-471E-95D5-411D2BC2E864}"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8:K24" firstHeaderRow="1" firstDataRow="1" firstDataCol="1"/>
  <pivotFields count="17">
    <pivotField numFmtId="164" showAll="0">
      <items count="345">
        <item x="85"/>
        <item x="23"/>
        <item x="144"/>
        <item x="195"/>
        <item x="230"/>
        <item x="261"/>
        <item x="22"/>
        <item x="20"/>
        <item x="289"/>
        <item x="94"/>
        <item x="337"/>
        <item x="154"/>
        <item x="247"/>
        <item x="329"/>
        <item x="56"/>
        <item x="287"/>
        <item x="28"/>
        <item x="204"/>
        <item x="83"/>
        <item x="102"/>
        <item x="18"/>
        <item x="231"/>
        <item x="15"/>
        <item x="1"/>
        <item x="244"/>
        <item x="158"/>
        <item x="303"/>
        <item x="175"/>
        <item x="39"/>
        <item x="183"/>
        <item x="6"/>
        <item x="269"/>
        <item x="260"/>
        <item x="184"/>
        <item x="340"/>
        <item x="155"/>
        <item x="57"/>
        <item x="266"/>
        <item x="257"/>
        <item x="147"/>
        <item x="279"/>
        <item x="50"/>
        <item x="53"/>
        <item x="129"/>
        <item x="0"/>
        <item x="12"/>
        <item x="2"/>
        <item x="43"/>
        <item x="273"/>
        <item x="176"/>
        <item x="174"/>
        <item x="73"/>
        <item x="328"/>
        <item x="59"/>
        <item x="66"/>
        <item x="274"/>
        <item x="264"/>
        <item x="173"/>
        <item x="113"/>
        <item x="343"/>
        <item x="178"/>
        <item x="216"/>
        <item x="4"/>
        <item x="7"/>
        <item x="233"/>
        <item x="188"/>
        <item x="271"/>
        <item x="207"/>
        <item x="313"/>
        <item x="321"/>
        <item x="220"/>
        <item x="127"/>
        <item x="140"/>
        <item x="118"/>
        <item x="290"/>
        <item x="177"/>
        <item x="278"/>
        <item x="21"/>
        <item x="51"/>
        <item x="130"/>
        <item x="34"/>
        <item x="89"/>
        <item x="169"/>
        <item x="48"/>
        <item x="302"/>
        <item x="29"/>
        <item x="101"/>
        <item x="206"/>
        <item x="282"/>
        <item x="251"/>
        <item x="341"/>
        <item x="310"/>
        <item x="152"/>
        <item x="45"/>
        <item x="98"/>
        <item x="16"/>
        <item x="150"/>
        <item x="307"/>
        <item x="187"/>
        <item x="67"/>
        <item x="170"/>
        <item x="68"/>
        <item x="258"/>
        <item x="112"/>
        <item x="69"/>
        <item x="239"/>
        <item x="106"/>
        <item x="49"/>
        <item x="95"/>
        <item x="338"/>
        <item x="210"/>
        <item x="109"/>
        <item x="327"/>
        <item x="145"/>
        <item x="200"/>
        <item x="5"/>
        <item x="47"/>
        <item x="30"/>
        <item x="134"/>
        <item x="281"/>
        <item x="285"/>
        <item x="288"/>
        <item x="333"/>
        <item x="179"/>
        <item x="17"/>
        <item x="309"/>
        <item x="92"/>
        <item x="306"/>
        <item x="27"/>
        <item x="241"/>
        <item x="226"/>
        <item x="31"/>
        <item x="124"/>
        <item x="312"/>
        <item x="37"/>
        <item x="80"/>
        <item x="331"/>
        <item x="212"/>
        <item x="61"/>
        <item x="32"/>
        <item x="136"/>
        <item x="325"/>
        <item x="3"/>
        <item x="209"/>
        <item x="292"/>
        <item x="142"/>
        <item x="41"/>
        <item x="330"/>
        <item x="246"/>
        <item x="213"/>
        <item x="286"/>
        <item x="107"/>
        <item x="62"/>
        <item x="324"/>
        <item x="156"/>
        <item x="137"/>
        <item x="243"/>
        <item x="256"/>
        <item x="265"/>
        <item x="320"/>
        <item x="319"/>
        <item x="149"/>
        <item x="78"/>
        <item x="36"/>
        <item x="342"/>
        <item x="186"/>
        <item x="86"/>
        <item x="38"/>
        <item x="228"/>
        <item x="194"/>
        <item x="103"/>
        <item x="317"/>
        <item x="255"/>
        <item x="322"/>
        <item x="227"/>
        <item x="240"/>
        <item x="164"/>
        <item x="123"/>
        <item x="52"/>
        <item x="157"/>
        <item x="182"/>
        <item x="24"/>
        <item x="90"/>
        <item x="316"/>
        <item x="180"/>
        <item x="284"/>
        <item x="203"/>
        <item x="305"/>
        <item x="249"/>
        <item x="160"/>
        <item x="70"/>
        <item x="72"/>
        <item x="301"/>
        <item x="314"/>
        <item x="193"/>
        <item x="198"/>
        <item x="111"/>
        <item x="104"/>
        <item x="114"/>
        <item x="263"/>
        <item x="242"/>
        <item x="295"/>
        <item x="97"/>
        <item x="225"/>
        <item x="293"/>
        <item x="44"/>
        <item x="105"/>
        <item x="128"/>
        <item x="280"/>
        <item x="133"/>
        <item x="224"/>
        <item x="132"/>
        <item x="19"/>
        <item x="159"/>
        <item x="229"/>
        <item x="108"/>
        <item x="235"/>
        <item x="222"/>
        <item x="116"/>
        <item x="181"/>
        <item x="332"/>
        <item x="119"/>
        <item x="161"/>
        <item x="153"/>
        <item x="300"/>
        <item x="192"/>
        <item x="167"/>
        <item x="335"/>
        <item x="81"/>
        <item x="323"/>
        <item x="121"/>
        <item x="267"/>
        <item x="8"/>
        <item x="196"/>
        <item x="33"/>
        <item x="82"/>
        <item x="162"/>
        <item x="275"/>
        <item x="26"/>
        <item x="9"/>
        <item x="143"/>
        <item x="202"/>
        <item x="42"/>
        <item x="211"/>
        <item x="64"/>
        <item x="315"/>
        <item x="294"/>
        <item x="197"/>
        <item x="122"/>
        <item x="117"/>
        <item x="165"/>
        <item x="75"/>
        <item x="84"/>
        <item x="277"/>
        <item x="185"/>
        <item x="259"/>
        <item x="40"/>
        <item x="201"/>
        <item x="253"/>
        <item x="214"/>
        <item x="208"/>
        <item x="126"/>
        <item x="71"/>
        <item x="191"/>
        <item x="146"/>
        <item x="283"/>
        <item x="58"/>
        <item x="236"/>
        <item x="76"/>
        <item x="63"/>
        <item x="74"/>
        <item x="138"/>
        <item x="120"/>
        <item x="268"/>
        <item x="238"/>
        <item x="148"/>
        <item x="219"/>
        <item x="10"/>
        <item x="270"/>
        <item x="339"/>
        <item x="55"/>
        <item x="131"/>
        <item x="25"/>
        <item x="245"/>
        <item x="276"/>
        <item x="151"/>
        <item x="318"/>
        <item x="93"/>
        <item x="334"/>
        <item x="326"/>
        <item x="65"/>
        <item x="234"/>
        <item x="262"/>
        <item x="96"/>
        <item x="336"/>
        <item x="46"/>
        <item x="35"/>
        <item x="291"/>
        <item x="135"/>
        <item x="254"/>
        <item x="88"/>
        <item x="163"/>
        <item x="252"/>
        <item x="60"/>
        <item x="172"/>
        <item x="272"/>
        <item x="139"/>
        <item x="13"/>
        <item x="141"/>
        <item x="237"/>
        <item x="11"/>
        <item x="87"/>
        <item x="297"/>
        <item x="110"/>
        <item x="304"/>
        <item x="215"/>
        <item x="171"/>
        <item x="299"/>
        <item x="223"/>
        <item x="296"/>
        <item x="168"/>
        <item x="190"/>
        <item x="205"/>
        <item x="217"/>
        <item x="199"/>
        <item x="189"/>
        <item x="311"/>
        <item x="232"/>
        <item x="166"/>
        <item x="298"/>
        <item x="125"/>
        <item x="77"/>
        <item x="221"/>
        <item x="14"/>
        <item x="308"/>
        <item x="248"/>
        <item x="250"/>
        <item x="79"/>
        <item x="99"/>
        <item x="218"/>
        <item x="115"/>
        <item x="54"/>
        <item x="100"/>
        <item x="91"/>
        <item t="default"/>
      </items>
    </pivotField>
    <pivotField showAll="0"/>
    <pivotField showAll="0"/>
    <pivotField dataField="1" showAll="0"/>
    <pivotField showAll="0"/>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showAll="0"/>
    <pivotField showAll="0"/>
    <pivotField axis="axisRow" showAll="0">
      <items count="6">
        <item x="0"/>
        <item x="2"/>
        <item x="1"/>
        <item x="3"/>
        <item x="4"/>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1"/>
  </rowFields>
  <rowItems count="6">
    <i>
      <x/>
    </i>
    <i>
      <x v="1"/>
    </i>
    <i>
      <x v="2"/>
    </i>
    <i>
      <x v="3"/>
    </i>
    <i>
      <x v="4"/>
    </i>
    <i t="grand">
      <x/>
    </i>
  </rowItems>
  <colItems count="1">
    <i/>
  </colItems>
  <dataFields count="1">
    <dataField name="Sum of Amount2" fld="3"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EB87EA-6C97-475F-AB76-EA800CB11663}"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27:K31" firstHeaderRow="1" firstDataRow="1" firstDataCol="1"/>
  <pivotFields count="17">
    <pivotField numFmtId="164" showAll="0">
      <items count="345">
        <item x="85"/>
        <item x="23"/>
        <item x="144"/>
        <item x="195"/>
        <item x="230"/>
        <item x="261"/>
        <item x="22"/>
        <item x="20"/>
        <item x="289"/>
        <item x="94"/>
        <item x="337"/>
        <item x="154"/>
        <item x="247"/>
        <item x="329"/>
        <item x="56"/>
        <item x="287"/>
        <item x="28"/>
        <item x="204"/>
        <item x="83"/>
        <item x="102"/>
        <item x="18"/>
        <item x="231"/>
        <item x="15"/>
        <item x="1"/>
        <item x="244"/>
        <item x="158"/>
        <item x="303"/>
        <item x="175"/>
        <item x="39"/>
        <item x="183"/>
        <item x="6"/>
        <item x="269"/>
        <item x="260"/>
        <item x="184"/>
        <item x="340"/>
        <item x="155"/>
        <item x="57"/>
        <item x="266"/>
        <item x="257"/>
        <item x="147"/>
        <item x="279"/>
        <item x="50"/>
        <item x="53"/>
        <item x="129"/>
        <item x="0"/>
        <item x="12"/>
        <item x="2"/>
        <item x="43"/>
        <item x="273"/>
        <item x="176"/>
        <item x="174"/>
        <item x="73"/>
        <item x="328"/>
        <item x="59"/>
        <item x="66"/>
        <item x="274"/>
        <item x="264"/>
        <item x="173"/>
        <item x="113"/>
        <item x="343"/>
        <item x="178"/>
        <item x="216"/>
        <item x="4"/>
        <item x="7"/>
        <item x="233"/>
        <item x="188"/>
        <item x="271"/>
        <item x="207"/>
        <item x="313"/>
        <item x="321"/>
        <item x="220"/>
        <item x="127"/>
        <item x="140"/>
        <item x="118"/>
        <item x="290"/>
        <item x="177"/>
        <item x="278"/>
        <item x="21"/>
        <item x="51"/>
        <item x="130"/>
        <item x="34"/>
        <item x="89"/>
        <item x="169"/>
        <item x="48"/>
        <item x="302"/>
        <item x="29"/>
        <item x="101"/>
        <item x="206"/>
        <item x="282"/>
        <item x="251"/>
        <item x="341"/>
        <item x="310"/>
        <item x="152"/>
        <item x="45"/>
        <item x="98"/>
        <item x="16"/>
        <item x="150"/>
        <item x="307"/>
        <item x="187"/>
        <item x="67"/>
        <item x="170"/>
        <item x="68"/>
        <item x="258"/>
        <item x="112"/>
        <item x="69"/>
        <item x="239"/>
        <item x="106"/>
        <item x="49"/>
        <item x="95"/>
        <item x="338"/>
        <item x="210"/>
        <item x="109"/>
        <item x="327"/>
        <item x="145"/>
        <item x="200"/>
        <item x="5"/>
        <item x="47"/>
        <item x="30"/>
        <item x="134"/>
        <item x="281"/>
        <item x="285"/>
        <item x="288"/>
        <item x="333"/>
        <item x="179"/>
        <item x="17"/>
        <item x="309"/>
        <item x="92"/>
        <item x="306"/>
        <item x="27"/>
        <item x="241"/>
        <item x="226"/>
        <item x="31"/>
        <item x="124"/>
        <item x="312"/>
        <item x="37"/>
        <item x="80"/>
        <item x="331"/>
        <item x="212"/>
        <item x="61"/>
        <item x="32"/>
        <item x="136"/>
        <item x="325"/>
        <item x="3"/>
        <item x="209"/>
        <item x="292"/>
        <item x="142"/>
        <item x="41"/>
        <item x="330"/>
        <item x="246"/>
        <item x="213"/>
        <item x="286"/>
        <item x="107"/>
        <item x="62"/>
        <item x="324"/>
        <item x="156"/>
        <item x="137"/>
        <item x="243"/>
        <item x="256"/>
        <item x="265"/>
        <item x="320"/>
        <item x="319"/>
        <item x="149"/>
        <item x="78"/>
        <item x="36"/>
        <item x="342"/>
        <item x="186"/>
        <item x="86"/>
        <item x="38"/>
        <item x="228"/>
        <item x="194"/>
        <item x="103"/>
        <item x="317"/>
        <item x="255"/>
        <item x="322"/>
        <item x="227"/>
        <item x="240"/>
        <item x="164"/>
        <item x="123"/>
        <item x="52"/>
        <item x="157"/>
        <item x="182"/>
        <item x="24"/>
        <item x="90"/>
        <item x="316"/>
        <item x="180"/>
        <item x="284"/>
        <item x="203"/>
        <item x="305"/>
        <item x="249"/>
        <item x="160"/>
        <item x="70"/>
        <item x="72"/>
        <item x="301"/>
        <item x="314"/>
        <item x="193"/>
        <item x="198"/>
        <item x="111"/>
        <item x="104"/>
        <item x="114"/>
        <item x="263"/>
        <item x="242"/>
        <item x="295"/>
        <item x="97"/>
        <item x="225"/>
        <item x="293"/>
        <item x="44"/>
        <item x="105"/>
        <item x="128"/>
        <item x="280"/>
        <item x="133"/>
        <item x="224"/>
        <item x="132"/>
        <item x="19"/>
        <item x="159"/>
        <item x="229"/>
        <item x="108"/>
        <item x="235"/>
        <item x="222"/>
        <item x="116"/>
        <item x="181"/>
        <item x="332"/>
        <item x="119"/>
        <item x="161"/>
        <item x="153"/>
        <item x="300"/>
        <item x="192"/>
        <item x="167"/>
        <item x="335"/>
        <item x="81"/>
        <item x="323"/>
        <item x="121"/>
        <item x="267"/>
        <item x="8"/>
        <item x="196"/>
        <item x="33"/>
        <item x="82"/>
        <item x="162"/>
        <item x="275"/>
        <item x="26"/>
        <item x="9"/>
        <item x="143"/>
        <item x="202"/>
        <item x="42"/>
        <item x="211"/>
        <item x="64"/>
        <item x="315"/>
        <item x="294"/>
        <item x="197"/>
        <item x="122"/>
        <item x="117"/>
        <item x="165"/>
        <item x="75"/>
        <item x="84"/>
        <item x="277"/>
        <item x="185"/>
        <item x="259"/>
        <item x="40"/>
        <item x="201"/>
        <item x="253"/>
        <item x="214"/>
        <item x="208"/>
        <item x="126"/>
        <item x="71"/>
        <item x="191"/>
        <item x="146"/>
        <item x="283"/>
        <item x="58"/>
        <item x="236"/>
        <item x="76"/>
        <item x="63"/>
        <item x="74"/>
        <item x="138"/>
        <item x="120"/>
        <item x="268"/>
        <item x="238"/>
        <item x="148"/>
        <item x="219"/>
        <item x="10"/>
        <item x="270"/>
        <item x="339"/>
        <item x="55"/>
        <item x="131"/>
        <item x="25"/>
        <item x="245"/>
        <item x="276"/>
        <item x="151"/>
        <item x="318"/>
        <item x="93"/>
        <item x="334"/>
        <item x="326"/>
        <item x="65"/>
        <item x="234"/>
        <item x="262"/>
        <item x="96"/>
        <item x="336"/>
        <item x="46"/>
        <item x="35"/>
        <item x="291"/>
        <item x="135"/>
        <item x="254"/>
        <item x="88"/>
        <item x="163"/>
        <item x="252"/>
        <item x="60"/>
        <item x="172"/>
        <item x="272"/>
        <item x="139"/>
        <item x="13"/>
        <item x="141"/>
        <item x="237"/>
        <item x="11"/>
        <item x="87"/>
        <item x="297"/>
        <item x="110"/>
        <item x="304"/>
        <item x="215"/>
        <item x="171"/>
        <item x="299"/>
        <item x="223"/>
        <item x="296"/>
        <item x="168"/>
        <item x="190"/>
        <item x="205"/>
        <item x="217"/>
        <item x="199"/>
        <item x="189"/>
        <item x="311"/>
        <item x="232"/>
        <item x="166"/>
        <item x="298"/>
        <item x="125"/>
        <item x="77"/>
        <item x="221"/>
        <item x="14"/>
        <item x="308"/>
        <item x="248"/>
        <item x="250"/>
        <item x="79"/>
        <item x="99"/>
        <item x="218"/>
        <item x="115"/>
        <item x="54"/>
        <item x="100"/>
        <item x="91"/>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13"/>
  </rowFields>
  <rowItems count="4">
    <i>
      <x/>
    </i>
    <i>
      <x v="1"/>
    </i>
    <i>
      <x v="2"/>
    </i>
    <i t="grand">
      <x/>
    </i>
  </rowItems>
  <colItems count="1">
    <i/>
  </colItems>
  <dataFields count="1">
    <dataField name="Sum of Amount" fld="3" baseField="0" baseItem="0" numFmtId="3"/>
  </dataFields>
  <formats count="2">
    <format dxfId="11">
      <pivotArea outline="0" collapsedLevelsAreSubtotals="1" fieldPosition="0"/>
    </format>
    <format dxfId="1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4CAA7E-E800-4B66-930B-E1EB90179EDD}"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2:K15" firstHeaderRow="1" firstDataRow="1" firstDataCol="1"/>
  <pivotFields count="17">
    <pivotField numFmtId="164" showAll="0">
      <items count="345">
        <item x="85"/>
        <item x="23"/>
        <item x="144"/>
        <item x="195"/>
        <item x="230"/>
        <item x="261"/>
        <item x="22"/>
        <item x="20"/>
        <item x="289"/>
        <item x="94"/>
        <item x="337"/>
        <item x="154"/>
        <item x="247"/>
        <item x="329"/>
        <item x="56"/>
        <item x="287"/>
        <item x="28"/>
        <item x="204"/>
        <item x="83"/>
        <item x="102"/>
        <item x="18"/>
        <item x="231"/>
        <item x="15"/>
        <item x="1"/>
        <item x="244"/>
        <item x="158"/>
        <item x="303"/>
        <item x="175"/>
        <item x="39"/>
        <item x="183"/>
        <item x="6"/>
        <item x="269"/>
        <item x="260"/>
        <item x="184"/>
        <item x="340"/>
        <item x="155"/>
        <item x="57"/>
        <item x="266"/>
        <item x="257"/>
        <item x="147"/>
        <item x="279"/>
        <item x="50"/>
        <item x="53"/>
        <item x="129"/>
        <item x="0"/>
        <item x="12"/>
        <item x="2"/>
        <item x="43"/>
        <item x="273"/>
        <item x="176"/>
        <item x="174"/>
        <item x="73"/>
        <item x="328"/>
        <item x="59"/>
        <item x="66"/>
        <item x="274"/>
        <item x="264"/>
        <item x="173"/>
        <item x="113"/>
        <item x="343"/>
        <item x="178"/>
        <item x="216"/>
        <item x="4"/>
        <item x="7"/>
        <item x="233"/>
        <item x="188"/>
        <item x="271"/>
        <item x="207"/>
        <item x="313"/>
        <item x="321"/>
        <item x="220"/>
        <item x="127"/>
        <item x="140"/>
        <item x="118"/>
        <item x="290"/>
        <item x="177"/>
        <item x="278"/>
        <item x="21"/>
        <item x="51"/>
        <item x="130"/>
        <item x="34"/>
        <item x="89"/>
        <item x="169"/>
        <item x="48"/>
        <item x="302"/>
        <item x="29"/>
        <item x="101"/>
        <item x="206"/>
        <item x="282"/>
        <item x="251"/>
        <item x="341"/>
        <item x="310"/>
        <item x="152"/>
        <item x="45"/>
        <item x="98"/>
        <item x="16"/>
        <item x="150"/>
        <item x="307"/>
        <item x="187"/>
        <item x="67"/>
        <item x="170"/>
        <item x="68"/>
        <item x="258"/>
        <item x="112"/>
        <item x="69"/>
        <item x="239"/>
        <item x="106"/>
        <item x="49"/>
        <item x="95"/>
        <item x="338"/>
        <item x="210"/>
        <item x="109"/>
        <item x="327"/>
        <item x="145"/>
        <item x="200"/>
        <item x="5"/>
        <item x="47"/>
        <item x="30"/>
        <item x="134"/>
        <item x="281"/>
        <item x="285"/>
        <item x="288"/>
        <item x="333"/>
        <item x="179"/>
        <item x="17"/>
        <item x="309"/>
        <item x="92"/>
        <item x="306"/>
        <item x="27"/>
        <item x="241"/>
        <item x="226"/>
        <item x="31"/>
        <item x="124"/>
        <item x="312"/>
        <item x="37"/>
        <item x="80"/>
        <item x="331"/>
        <item x="212"/>
        <item x="61"/>
        <item x="32"/>
        <item x="136"/>
        <item x="325"/>
        <item x="3"/>
        <item x="209"/>
        <item x="292"/>
        <item x="142"/>
        <item x="41"/>
        <item x="330"/>
        <item x="246"/>
        <item x="213"/>
        <item x="286"/>
        <item x="107"/>
        <item x="62"/>
        <item x="324"/>
        <item x="156"/>
        <item x="137"/>
        <item x="243"/>
        <item x="256"/>
        <item x="265"/>
        <item x="320"/>
        <item x="319"/>
        <item x="149"/>
        <item x="78"/>
        <item x="36"/>
        <item x="342"/>
        <item x="186"/>
        <item x="86"/>
        <item x="38"/>
        <item x="228"/>
        <item x="194"/>
        <item x="103"/>
        <item x="317"/>
        <item x="255"/>
        <item x="322"/>
        <item x="227"/>
        <item x="240"/>
        <item x="164"/>
        <item x="123"/>
        <item x="52"/>
        <item x="157"/>
        <item x="182"/>
        <item x="24"/>
        <item x="90"/>
        <item x="316"/>
        <item x="180"/>
        <item x="284"/>
        <item x="203"/>
        <item x="305"/>
        <item x="249"/>
        <item x="160"/>
        <item x="70"/>
        <item x="72"/>
        <item x="301"/>
        <item x="314"/>
        <item x="193"/>
        <item x="198"/>
        <item x="111"/>
        <item x="104"/>
        <item x="114"/>
        <item x="263"/>
        <item x="242"/>
        <item x="295"/>
        <item x="97"/>
        <item x="225"/>
        <item x="293"/>
        <item x="44"/>
        <item x="105"/>
        <item x="128"/>
        <item x="280"/>
        <item x="133"/>
        <item x="224"/>
        <item x="132"/>
        <item x="19"/>
        <item x="159"/>
        <item x="229"/>
        <item x="108"/>
        <item x="235"/>
        <item x="222"/>
        <item x="116"/>
        <item x="181"/>
        <item x="332"/>
        <item x="119"/>
        <item x="161"/>
        <item x="153"/>
        <item x="300"/>
        <item x="192"/>
        <item x="167"/>
        <item x="335"/>
        <item x="81"/>
        <item x="323"/>
        <item x="121"/>
        <item x="267"/>
        <item x="8"/>
        <item x="196"/>
        <item x="33"/>
        <item x="82"/>
        <item x="162"/>
        <item x="275"/>
        <item x="26"/>
        <item x="9"/>
        <item x="143"/>
        <item x="202"/>
        <item x="42"/>
        <item x="211"/>
        <item x="64"/>
        <item x="315"/>
        <item x="294"/>
        <item x="197"/>
        <item x="122"/>
        <item x="117"/>
        <item x="165"/>
        <item x="75"/>
        <item x="84"/>
        <item x="277"/>
        <item x="185"/>
        <item x="259"/>
        <item x="40"/>
        <item x="201"/>
        <item x="253"/>
        <item x="214"/>
        <item x="208"/>
        <item x="126"/>
        <item x="71"/>
        <item x="191"/>
        <item x="146"/>
        <item x="283"/>
        <item x="58"/>
        <item x="236"/>
        <item x="76"/>
        <item x="63"/>
        <item x="74"/>
        <item x="138"/>
        <item x="120"/>
        <item x="268"/>
        <item x="238"/>
        <item x="148"/>
        <item x="219"/>
        <item x="10"/>
        <item x="270"/>
        <item x="339"/>
        <item x="55"/>
        <item x="131"/>
        <item x="25"/>
        <item x="245"/>
        <item x="276"/>
        <item x="151"/>
        <item x="318"/>
        <item x="93"/>
        <item x="334"/>
        <item x="326"/>
        <item x="65"/>
        <item x="234"/>
        <item x="262"/>
        <item x="96"/>
        <item x="336"/>
        <item x="46"/>
        <item x="35"/>
        <item x="291"/>
        <item x="135"/>
        <item x="254"/>
        <item x="88"/>
        <item x="163"/>
        <item x="252"/>
        <item x="60"/>
        <item x="172"/>
        <item x="272"/>
        <item x="139"/>
        <item x="13"/>
        <item x="141"/>
        <item x="237"/>
        <item x="11"/>
        <item x="87"/>
        <item x="297"/>
        <item x="110"/>
        <item x="304"/>
        <item x="215"/>
        <item x="171"/>
        <item x="299"/>
        <item x="223"/>
        <item x="296"/>
        <item x="168"/>
        <item x="190"/>
        <item x="205"/>
        <item x="217"/>
        <item x="199"/>
        <item x="189"/>
        <item x="311"/>
        <item x="232"/>
        <item x="166"/>
        <item x="298"/>
        <item x="125"/>
        <item x="77"/>
        <item x="221"/>
        <item x="14"/>
        <item x="308"/>
        <item x="248"/>
        <item x="250"/>
        <item x="79"/>
        <item x="99"/>
        <item x="218"/>
        <item x="115"/>
        <item x="54"/>
        <item x="100"/>
        <item x="91"/>
        <item t="default"/>
      </items>
    </pivotField>
    <pivotField showAll="0"/>
    <pivotField showAll="0"/>
    <pivotField dataField="1"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6"/>
    <field x="4"/>
  </rowFields>
  <rowItems count="13">
    <i>
      <x v="1"/>
    </i>
    <i>
      <x v="2"/>
    </i>
    <i>
      <x v="3"/>
    </i>
    <i>
      <x v="4"/>
    </i>
    <i>
      <x v="5"/>
    </i>
    <i>
      <x v="6"/>
    </i>
    <i>
      <x v="7"/>
    </i>
    <i>
      <x v="8"/>
    </i>
    <i>
      <x v="9"/>
    </i>
    <i>
      <x v="10"/>
    </i>
    <i>
      <x v="11"/>
    </i>
    <i>
      <x v="12"/>
    </i>
    <i t="grand">
      <x/>
    </i>
  </rowItems>
  <colItems count="1">
    <i/>
  </colItems>
  <dataFields count="1">
    <dataField name="Sum of Amount2" fld="3" baseField="0" baseItem="0"/>
  </dataFields>
  <formats count="1">
    <format dxfId="12">
      <pivotArea outline="0" collapsedLevelsAreSubtotals="1" fieldPosition="0"/>
    </format>
  </formats>
  <chartFormats count="3">
    <chartFormat chart="0" format="1"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047BC7-8DB8-4553-B66C-BE6FB23DB6A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2:H16" firstHeaderRow="1" firstDataRow="2" firstDataCol="1"/>
  <pivotFields count="17">
    <pivotField numFmtId="164" showAll="0">
      <items count="345">
        <item x="85"/>
        <item x="23"/>
        <item x="144"/>
        <item x="195"/>
        <item x="230"/>
        <item x="261"/>
        <item x="22"/>
        <item x="20"/>
        <item x="289"/>
        <item x="94"/>
        <item x="337"/>
        <item x="154"/>
        <item x="247"/>
        <item x="329"/>
        <item x="56"/>
        <item x="287"/>
        <item x="28"/>
        <item x="204"/>
        <item x="83"/>
        <item x="102"/>
        <item x="18"/>
        <item x="231"/>
        <item x="15"/>
        <item x="1"/>
        <item x="244"/>
        <item x="158"/>
        <item x="303"/>
        <item x="175"/>
        <item x="39"/>
        <item x="183"/>
        <item x="6"/>
        <item x="269"/>
        <item x="260"/>
        <item x="184"/>
        <item x="340"/>
        <item x="155"/>
        <item x="57"/>
        <item x="266"/>
        <item x="257"/>
        <item x="147"/>
        <item x="279"/>
        <item x="50"/>
        <item x="53"/>
        <item x="129"/>
        <item x="0"/>
        <item x="12"/>
        <item x="2"/>
        <item x="43"/>
        <item x="273"/>
        <item x="176"/>
        <item x="174"/>
        <item x="73"/>
        <item x="328"/>
        <item x="59"/>
        <item x="66"/>
        <item x="274"/>
        <item x="264"/>
        <item x="173"/>
        <item x="113"/>
        <item x="343"/>
        <item x="178"/>
        <item x="216"/>
        <item x="4"/>
        <item x="7"/>
        <item x="233"/>
        <item x="188"/>
        <item x="271"/>
        <item x="207"/>
        <item x="313"/>
        <item x="321"/>
        <item x="220"/>
        <item x="127"/>
        <item x="140"/>
        <item x="118"/>
        <item x="290"/>
        <item x="177"/>
        <item x="278"/>
        <item x="21"/>
        <item x="51"/>
        <item x="130"/>
        <item x="34"/>
        <item x="89"/>
        <item x="169"/>
        <item x="48"/>
        <item x="302"/>
        <item x="29"/>
        <item x="101"/>
        <item x="206"/>
        <item x="282"/>
        <item x="251"/>
        <item x="341"/>
        <item x="310"/>
        <item x="152"/>
        <item x="45"/>
        <item x="98"/>
        <item x="16"/>
        <item x="150"/>
        <item x="307"/>
        <item x="187"/>
        <item x="67"/>
        <item x="170"/>
        <item x="68"/>
        <item x="258"/>
        <item x="112"/>
        <item x="69"/>
        <item x="239"/>
        <item x="106"/>
        <item x="49"/>
        <item x="95"/>
        <item x="338"/>
        <item x="210"/>
        <item x="109"/>
        <item x="327"/>
        <item x="145"/>
        <item x="200"/>
        <item x="5"/>
        <item x="47"/>
        <item x="30"/>
        <item x="134"/>
        <item x="281"/>
        <item x="285"/>
        <item x="288"/>
        <item x="333"/>
        <item x="179"/>
        <item x="17"/>
        <item x="309"/>
        <item x="92"/>
        <item x="306"/>
        <item x="27"/>
        <item x="241"/>
        <item x="226"/>
        <item x="31"/>
        <item x="124"/>
        <item x="312"/>
        <item x="37"/>
        <item x="80"/>
        <item x="331"/>
        <item x="212"/>
        <item x="61"/>
        <item x="32"/>
        <item x="136"/>
        <item x="325"/>
        <item x="3"/>
        <item x="209"/>
        <item x="292"/>
        <item x="142"/>
        <item x="41"/>
        <item x="330"/>
        <item x="246"/>
        <item x="213"/>
        <item x="286"/>
        <item x="107"/>
        <item x="62"/>
        <item x="324"/>
        <item x="156"/>
        <item x="137"/>
        <item x="243"/>
        <item x="256"/>
        <item x="265"/>
        <item x="320"/>
        <item x="319"/>
        <item x="149"/>
        <item x="78"/>
        <item x="36"/>
        <item x="342"/>
        <item x="186"/>
        <item x="86"/>
        <item x="38"/>
        <item x="228"/>
        <item x="194"/>
        <item x="103"/>
        <item x="317"/>
        <item x="255"/>
        <item x="322"/>
        <item x="227"/>
        <item x="240"/>
        <item x="164"/>
        <item x="123"/>
        <item x="52"/>
        <item x="157"/>
        <item x="182"/>
        <item x="24"/>
        <item x="90"/>
        <item x="316"/>
        <item x="180"/>
        <item x="284"/>
        <item x="203"/>
        <item x="305"/>
        <item x="249"/>
        <item x="160"/>
        <item x="70"/>
        <item x="72"/>
        <item x="301"/>
        <item x="314"/>
        <item x="193"/>
        <item x="198"/>
        <item x="111"/>
        <item x="104"/>
        <item x="114"/>
        <item x="263"/>
        <item x="242"/>
        <item x="295"/>
        <item x="97"/>
        <item x="225"/>
        <item x="293"/>
        <item x="44"/>
        <item x="105"/>
        <item x="128"/>
        <item x="280"/>
        <item x="133"/>
        <item x="224"/>
        <item x="132"/>
        <item x="19"/>
        <item x="159"/>
        <item x="229"/>
        <item x="108"/>
        <item x="235"/>
        <item x="222"/>
        <item x="116"/>
        <item x="181"/>
        <item x="332"/>
        <item x="119"/>
        <item x="161"/>
        <item x="153"/>
        <item x="300"/>
        <item x="192"/>
        <item x="167"/>
        <item x="335"/>
        <item x="81"/>
        <item x="323"/>
        <item x="121"/>
        <item x="267"/>
        <item x="8"/>
        <item x="196"/>
        <item x="33"/>
        <item x="82"/>
        <item x="162"/>
        <item x="275"/>
        <item x="26"/>
        <item x="9"/>
        <item x="143"/>
        <item x="202"/>
        <item x="42"/>
        <item x="211"/>
        <item x="64"/>
        <item x="315"/>
        <item x="294"/>
        <item x="197"/>
        <item x="122"/>
        <item x="117"/>
        <item x="165"/>
        <item x="75"/>
        <item x="84"/>
        <item x="277"/>
        <item x="185"/>
        <item x="259"/>
        <item x="40"/>
        <item x="201"/>
        <item x="253"/>
        <item x="214"/>
        <item x="208"/>
        <item x="126"/>
        <item x="71"/>
        <item x="191"/>
        <item x="146"/>
        <item x="283"/>
        <item x="58"/>
        <item x="236"/>
        <item x="76"/>
        <item x="63"/>
        <item x="74"/>
        <item x="138"/>
        <item x="120"/>
        <item x="268"/>
        <item x="238"/>
        <item x="148"/>
        <item x="219"/>
        <item x="10"/>
        <item x="270"/>
        <item x="339"/>
        <item x="55"/>
        <item x="131"/>
        <item x="25"/>
        <item x="245"/>
        <item x="276"/>
        <item x="151"/>
        <item x="318"/>
        <item x="93"/>
        <item x="334"/>
        <item x="326"/>
        <item x="65"/>
        <item x="234"/>
        <item x="262"/>
        <item x="96"/>
        <item x="336"/>
        <item x="46"/>
        <item x="35"/>
        <item x="291"/>
        <item x="135"/>
        <item x="254"/>
        <item x="88"/>
        <item x="163"/>
        <item x="252"/>
        <item x="60"/>
        <item x="172"/>
        <item x="272"/>
        <item x="139"/>
        <item x="13"/>
        <item x="141"/>
        <item x="237"/>
        <item x="11"/>
        <item x="87"/>
        <item x="297"/>
        <item x="110"/>
        <item x="304"/>
        <item x="215"/>
        <item x="171"/>
        <item x="299"/>
        <item x="223"/>
        <item x="296"/>
        <item x="168"/>
        <item x="190"/>
        <item x="205"/>
        <item x="217"/>
        <item x="199"/>
        <item x="189"/>
        <item x="311"/>
        <item x="232"/>
        <item x="166"/>
        <item x="298"/>
        <item x="125"/>
        <item x="77"/>
        <item x="221"/>
        <item x="14"/>
        <item x="308"/>
        <item x="248"/>
        <item x="250"/>
        <item x="79"/>
        <item x="99"/>
        <item x="218"/>
        <item x="115"/>
        <item x="54"/>
        <item x="100"/>
        <item x="91"/>
        <item t="default"/>
      </items>
    </pivotField>
    <pivotField axis="axisRow" showAll="0">
      <items count="13">
        <item x="11"/>
        <item x="1"/>
        <item x="4"/>
        <item x="3"/>
        <item x="2"/>
        <item x="7"/>
        <item x="0"/>
        <item x="6"/>
        <item x="10"/>
        <item x="8"/>
        <item x="9"/>
        <item x="5"/>
        <item t="default"/>
      </items>
    </pivotField>
    <pivotField showAll="0"/>
    <pivotField dataField="1"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3">
    <i>
      <x/>
    </i>
    <i>
      <x v="1"/>
    </i>
    <i>
      <x v="2"/>
    </i>
    <i>
      <x v="3"/>
    </i>
    <i>
      <x v="4"/>
    </i>
    <i>
      <x v="5"/>
    </i>
    <i>
      <x v="6"/>
    </i>
    <i>
      <x v="7"/>
    </i>
    <i>
      <x v="8"/>
    </i>
    <i>
      <x v="9"/>
    </i>
    <i>
      <x v="10"/>
    </i>
    <i>
      <x v="11"/>
    </i>
    <i t="grand">
      <x/>
    </i>
  </rowItems>
  <colFields count="1">
    <field x="6"/>
  </colFields>
  <colItems count="3">
    <i>
      <x/>
    </i>
    <i>
      <x v="1"/>
    </i>
    <i t="grand">
      <x/>
    </i>
  </colItems>
  <dataFields count="1">
    <dataField name="Sum of Amount2" fld="3" baseField="0" baseItem="0" numFmtId="3"/>
  </dataFields>
  <formats count="2">
    <format dxfId="14">
      <pivotArea outline="0" collapsedLevelsAreSubtotals="1" fieldPosition="0">
        <references count="1">
          <reference field="4294967294" count="1" selected="0">
            <x v="0"/>
          </reference>
        </references>
      </pivotArea>
    </format>
    <format dxfId="13">
      <pivotArea dataOnly="0" labelOnly="1" outline="0" fieldPosition="0">
        <references count="1">
          <reference field="4294967294" count="1">
            <x v="0"/>
          </reference>
        </references>
      </pivotArea>
    </format>
  </formats>
  <chartFormats count="4">
    <chartFormat chart="1" format="2" series="1">
      <pivotArea type="data" outline="0" fieldPosition="0">
        <references count="2">
          <reference field="4294967294" count="1" selected="0">
            <x v="0"/>
          </reference>
          <reference field="6" count="1" selected="0">
            <x v="0"/>
          </reference>
        </references>
      </pivotArea>
    </chartFormat>
    <chartFormat chart="1" format="3" series="1">
      <pivotArea type="data" outline="0" fieldPosition="0">
        <references count="2">
          <reference field="4294967294" count="1" selected="0">
            <x v="0"/>
          </reference>
          <reference field="6" count="1" selected="0">
            <x v="1"/>
          </reference>
        </references>
      </pivotArea>
    </chartFormat>
    <chartFormat chart="3" format="4" series="1">
      <pivotArea type="data" outline="0" fieldPosition="0">
        <references count="2">
          <reference field="4294967294" count="1" selected="0">
            <x v="0"/>
          </reference>
          <reference field="6" count="1" selected="0">
            <x v="0"/>
          </reference>
        </references>
      </pivotArea>
    </chartFormat>
    <chartFormat chart="3" format="5"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5B1BED-247E-4AD3-B5B8-3DFB005D675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2:B36" firstHeaderRow="1" firstDataRow="1" firstDataCol="1"/>
  <pivotFields count="17">
    <pivotField numFmtId="164" showAll="0">
      <items count="345">
        <item x="85"/>
        <item x="23"/>
        <item x="144"/>
        <item x="195"/>
        <item x="230"/>
        <item x="261"/>
        <item x="22"/>
        <item x="20"/>
        <item x="289"/>
        <item x="94"/>
        <item x="337"/>
        <item x="154"/>
        <item x="247"/>
        <item x="329"/>
        <item x="56"/>
        <item x="287"/>
        <item x="28"/>
        <item x="204"/>
        <item x="83"/>
        <item x="102"/>
        <item x="18"/>
        <item x="231"/>
        <item x="15"/>
        <item x="1"/>
        <item x="244"/>
        <item x="158"/>
        <item x="303"/>
        <item x="175"/>
        <item x="39"/>
        <item x="183"/>
        <item x="6"/>
        <item x="269"/>
        <item x="260"/>
        <item x="184"/>
        <item x="340"/>
        <item x="155"/>
        <item x="57"/>
        <item x="266"/>
        <item x="257"/>
        <item x="147"/>
        <item x="279"/>
        <item x="50"/>
        <item x="53"/>
        <item x="129"/>
        <item x="0"/>
        <item x="12"/>
        <item x="2"/>
        <item x="43"/>
        <item x="273"/>
        <item x="176"/>
        <item x="174"/>
        <item x="73"/>
        <item x="328"/>
        <item x="59"/>
        <item x="66"/>
        <item x="274"/>
        <item x="264"/>
        <item x="173"/>
        <item x="113"/>
        <item x="343"/>
        <item x="178"/>
        <item x="216"/>
        <item x="4"/>
        <item x="7"/>
        <item x="233"/>
        <item x="188"/>
        <item x="271"/>
        <item x="207"/>
        <item x="313"/>
        <item x="321"/>
        <item x="220"/>
        <item x="127"/>
        <item x="140"/>
        <item x="118"/>
        <item x="290"/>
        <item x="177"/>
        <item x="278"/>
        <item x="21"/>
        <item x="51"/>
        <item x="130"/>
        <item x="34"/>
        <item x="89"/>
        <item x="169"/>
        <item x="48"/>
        <item x="302"/>
        <item x="29"/>
        <item x="101"/>
        <item x="206"/>
        <item x="282"/>
        <item x="251"/>
        <item x="341"/>
        <item x="310"/>
        <item x="152"/>
        <item x="45"/>
        <item x="98"/>
        <item x="16"/>
        <item x="150"/>
        <item x="307"/>
        <item x="187"/>
        <item x="67"/>
        <item x="170"/>
        <item x="68"/>
        <item x="258"/>
        <item x="112"/>
        <item x="69"/>
        <item x="239"/>
        <item x="106"/>
        <item x="49"/>
        <item x="95"/>
        <item x="338"/>
        <item x="210"/>
        <item x="109"/>
        <item x="327"/>
        <item x="145"/>
        <item x="200"/>
        <item x="5"/>
        <item x="47"/>
        <item x="30"/>
        <item x="134"/>
        <item x="281"/>
        <item x="285"/>
        <item x="288"/>
        <item x="333"/>
        <item x="179"/>
        <item x="17"/>
        <item x="309"/>
        <item x="92"/>
        <item x="306"/>
        <item x="27"/>
        <item x="241"/>
        <item x="226"/>
        <item x="31"/>
        <item x="124"/>
        <item x="312"/>
        <item x="37"/>
        <item x="80"/>
        <item x="331"/>
        <item x="212"/>
        <item x="61"/>
        <item x="32"/>
        <item x="136"/>
        <item x="325"/>
        <item x="3"/>
        <item x="209"/>
        <item x="292"/>
        <item x="142"/>
        <item x="41"/>
        <item x="330"/>
        <item x="246"/>
        <item x="213"/>
        <item x="286"/>
        <item x="107"/>
        <item x="62"/>
        <item x="324"/>
        <item x="156"/>
        <item x="137"/>
        <item x="243"/>
        <item x="256"/>
        <item x="265"/>
        <item x="320"/>
        <item x="319"/>
        <item x="149"/>
        <item x="78"/>
        <item x="36"/>
        <item x="342"/>
        <item x="186"/>
        <item x="86"/>
        <item x="38"/>
        <item x="228"/>
        <item x="194"/>
        <item x="103"/>
        <item x="317"/>
        <item x="255"/>
        <item x="322"/>
        <item x="227"/>
        <item x="240"/>
        <item x="164"/>
        <item x="123"/>
        <item x="52"/>
        <item x="157"/>
        <item x="182"/>
        <item x="24"/>
        <item x="90"/>
        <item x="316"/>
        <item x="180"/>
        <item x="284"/>
        <item x="203"/>
        <item x="305"/>
        <item x="249"/>
        <item x="160"/>
        <item x="70"/>
        <item x="72"/>
        <item x="301"/>
        <item x="314"/>
        <item x="193"/>
        <item x="198"/>
        <item x="111"/>
        <item x="104"/>
        <item x="114"/>
        <item x="263"/>
        <item x="242"/>
        <item x="295"/>
        <item x="97"/>
        <item x="225"/>
        <item x="293"/>
        <item x="44"/>
        <item x="105"/>
        <item x="128"/>
        <item x="280"/>
        <item x="133"/>
        <item x="224"/>
        <item x="132"/>
        <item x="19"/>
        <item x="159"/>
        <item x="229"/>
        <item x="108"/>
        <item x="235"/>
        <item x="222"/>
        <item x="116"/>
        <item x="181"/>
        <item x="332"/>
        <item x="119"/>
        <item x="161"/>
        <item x="153"/>
        <item x="300"/>
        <item x="192"/>
        <item x="167"/>
        <item x="335"/>
        <item x="81"/>
        <item x="323"/>
        <item x="121"/>
        <item x="267"/>
        <item x="8"/>
        <item x="196"/>
        <item x="33"/>
        <item x="82"/>
        <item x="162"/>
        <item x="275"/>
        <item x="26"/>
        <item x="9"/>
        <item x="143"/>
        <item x="202"/>
        <item x="42"/>
        <item x="211"/>
        <item x="64"/>
        <item x="315"/>
        <item x="294"/>
        <item x="197"/>
        <item x="122"/>
        <item x="117"/>
        <item x="165"/>
        <item x="75"/>
        <item x="84"/>
        <item x="277"/>
        <item x="185"/>
        <item x="259"/>
        <item x="40"/>
        <item x="201"/>
        <item x="253"/>
        <item x="214"/>
        <item x="208"/>
        <item x="126"/>
        <item x="71"/>
        <item x="191"/>
        <item x="146"/>
        <item x="283"/>
        <item x="58"/>
        <item x="236"/>
        <item x="76"/>
        <item x="63"/>
        <item x="74"/>
        <item x="138"/>
        <item x="120"/>
        <item x="268"/>
        <item x="238"/>
        <item x="148"/>
        <item x="219"/>
        <item x="10"/>
        <item x="270"/>
        <item x="339"/>
        <item x="55"/>
        <item x="131"/>
        <item x="25"/>
        <item x="245"/>
        <item x="276"/>
        <item x="151"/>
        <item x="318"/>
        <item x="93"/>
        <item x="334"/>
        <item x="326"/>
        <item x="65"/>
        <item x="234"/>
        <item x="262"/>
        <item x="96"/>
        <item x="336"/>
        <item x="46"/>
        <item x="35"/>
        <item x="291"/>
        <item x="135"/>
        <item x="254"/>
        <item x="88"/>
        <item x="163"/>
        <item x="252"/>
        <item x="60"/>
        <item x="172"/>
        <item x="272"/>
        <item x="139"/>
        <item x="13"/>
        <item x="141"/>
        <item x="237"/>
        <item x="11"/>
        <item x="87"/>
        <item x="297"/>
        <item x="110"/>
        <item x="304"/>
        <item x="215"/>
        <item x="171"/>
        <item x="299"/>
        <item x="223"/>
        <item x="296"/>
        <item x="168"/>
        <item x="190"/>
        <item x="205"/>
        <item x="217"/>
        <item x="199"/>
        <item x="189"/>
        <item x="311"/>
        <item x="232"/>
        <item x="166"/>
        <item x="298"/>
        <item x="125"/>
        <item x="77"/>
        <item x="221"/>
        <item x="14"/>
        <item x="308"/>
        <item x="248"/>
        <item x="250"/>
        <item x="79"/>
        <item x="99"/>
        <item x="218"/>
        <item x="115"/>
        <item x="54"/>
        <item x="100"/>
        <item x="91"/>
        <item t="default"/>
      </items>
    </pivotField>
    <pivotField showAll="0"/>
    <pivotField showAll="0"/>
    <pivotField dataField="1" showAll="0">
      <items count="427">
        <item x="128"/>
        <item x="367"/>
        <item x="117"/>
        <item x="230"/>
        <item x="415"/>
        <item x="270"/>
        <item x="195"/>
        <item x="377"/>
        <item x="188"/>
        <item x="16"/>
        <item x="372"/>
        <item x="211"/>
        <item x="280"/>
        <item x="269"/>
        <item x="378"/>
        <item x="7"/>
        <item x="204"/>
        <item x="409"/>
        <item x="37"/>
        <item x="21"/>
        <item x="160"/>
        <item x="375"/>
        <item x="327"/>
        <item x="339"/>
        <item x="89"/>
        <item x="51"/>
        <item x="164"/>
        <item x="351"/>
        <item x="398"/>
        <item x="43"/>
        <item x="44"/>
        <item x="247"/>
        <item x="354"/>
        <item x="17"/>
        <item x="88"/>
        <item x="48"/>
        <item x="242"/>
        <item x="421"/>
        <item x="45"/>
        <item x="286"/>
        <item x="355"/>
        <item x="84"/>
        <item x="81"/>
        <item x="402"/>
        <item x="423"/>
        <item x="93"/>
        <item x="38"/>
        <item x="283"/>
        <item x="422"/>
        <item x="227"/>
        <item x="1"/>
        <item x="356"/>
        <item x="202"/>
        <item x="425"/>
        <item x="246"/>
        <item x="27"/>
        <item x="32"/>
        <item x="303"/>
        <item x="194"/>
        <item x="267"/>
        <item x="140"/>
        <item x="264"/>
        <item x="112"/>
        <item x="60"/>
        <item x="64"/>
        <item x="219"/>
        <item x="103"/>
        <item x="3"/>
        <item x="388"/>
        <item x="131"/>
        <item x="287"/>
        <item x="85"/>
        <item x="118"/>
        <item x="382"/>
        <item x="273"/>
        <item x="151"/>
        <item x="393"/>
        <item x="349"/>
        <item x="343"/>
        <item x="47"/>
        <item x="341"/>
        <item x="216"/>
        <item x="394"/>
        <item x="82"/>
        <item x="368"/>
        <item x="419"/>
        <item x="173"/>
        <item x="36"/>
        <item x="256"/>
        <item x="141"/>
        <item x="185"/>
        <item x="68"/>
        <item x="50"/>
        <item x="77"/>
        <item x="46"/>
        <item x="311"/>
        <item x="31"/>
        <item x="215"/>
        <item x="147"/>
        <item x="240"/>
        <item x="401"/>
        <item x="184"/>
        <item x="348"/>
        <item x="233"/>
        <item x="243"/>
        <item x="249"/>
        <item x="26"/>
        <item x="186"/>
        <item x="166"/>
        <item x="49"/>
        <item x="214"/>
        <item x="406"/>
        <item x="144"/>
        <item x="331"/>
        <item x="335"/>
        <item x="405"/>
        <item x="125"/>
        <item x="324"/>
        <item x="138"/>
        <item x="159"/>
        <item x="299"/>
        <item x="314"/>
        <item x="181"/>
        <item x="319"/>
        <item x="407"/>
        <item x="217"/>
        <item x="413"/>
        <item x="386"/>
        <item x="80"/>
        <item x="143"/>
        <item x="238"/>
        <item x="374"/>
        <item x="12"/>
        <item x="289"/>
        <item x="156"/>
        <item x="336"/>
        <item x="171"/>
        <item x="150"/>
        <item x="191"/>
        <item x="2"/>
        <item x="116"/>
        <item x="196"/>
        <item x="42"/>
        <item x="300"/>
        <item x="95"/>
        <item x="416"/>
        <item x="183"/>
        <item x="317"/>
        <item x="121"/>
        <item x="179"/>
        <item x="225"/>
        <item x="132"/>
        <item x="268"/>
        <item x="177"/>
        <item x="192"/>
        <item x="145"/>
        <item x="163"/>
        <item x="135"/>
        <item x="383"/>
        <item x="295"/>
        <item x="282"/>
        <item x="257"/>
        <item x="218"/>
        <item x="272"/>
        <item x="104"/>
        <item x="253"/>
        <item x="366"/>
        <item x="154"/>
        <item x="86"/>
        <item x="124"/>
        <item x="223"/>
        <item x="168"/>
        <item x="224"/>
        <item x="174"/>
        <item x="275"/>
        <item x="338"/>
        <item x="400"/>
        <item x="130"/>
        <item x="392"/>
        <item x="33"/>
        <item x="332"/>
        <item x="122"/>
        <item x="203"/>
        <item x="101"/>
        <item x="127"/>
        <item x="277"/>
        <item x="59"/>
        <item x="250"/>
        <item x="187"/>
        <item x="234"/>
        <item x="259"/>
        <item x="123"/>
        <item x="24"/>
        <item x="232"/>
        <item x="254"/>
        <item x="134"/>
        <item x="78"/>
        <item x="397"/>
        <item x="198"/>
        <item x="321"/>
        <item x="74"/>
        <item x="245"/>
        <item x="305"/>
        <item x="65"/>
        <item x="391"/>
        <item x="102"/>
        <item x="9"/>
        <item x="107"/>
        <item x="142"/>
        <item x="71"/>
        <item x="197"/>
        <item x="362"/>
        <item x="175"/>
        <item x="15"/>
        <item x="139"/>
        <item x="379"/>
        <item x="358"/>
        <item x="414"/>
        <item x="100"/>
        <item x="18"/>
        <item x="98"/>
        <item x="189"/>
        <item x="35"/>
        <item x="106"/>
        <item x="322"/>
        <item x="293"/>
        <item x="258"/>
        <item x="57"/>
        <item x="320"/>
        <item x="359"/>
        <item x="114"/>
        <item x="165"/>
        <item x="29"/>
        <item x="334"/>
        <item x="260"/>
        <item x="235"/>
        <item x="236"/>
        <item x="266"/>
        <item x="206"/>
        <item x="340"/>
        <item x="329"/>
        <item x="228"/>
        <item x="307"/>
        <item x="308"/>
        <item x="133"/>
        <item x="87"/>
        <item x="353"/>
        <item x="157"/>
        <item x="30"/>
        <item x="237"/>
        <item x="226"/>
        <item x="58"/>
        <item x="61"/>
        <item x="66"/>
        <item x="6"/>
        <item x="110"/>
        <item x="40"/>
        <item x="231"/>
        <item x="330"/>
        <item x="208"/>
        <item x="333"/>
        <item x="309"/>
        <item x="180"/>
        <item x="105"/>
        <item x="364"/>
        <item x="69"/>
        <item x="380"/>
        <item x="420"/>
        <item x="291"/>
        <item x="205"/>
        <item x="55"/>
        <item x="28"/>
        <item x="344"/>
        <item x="301"/>
        <item x="395"/>
        <item x="70"/>
        <item x="8"/>
        <item x="263"/>
        <item x="296"/>
        <item x="120"/>
        <item x="399"/>
        <item x="262"/>
        <item x="201"/>
        <item x="385"/>
        <item x="365"/>
        <item x="129"/>
        <item x="10"/>
        <item x="137"/>
        <item x="115"/>
        <item x="310"/>
        <item x="22"/>
        <item x="350"/>
        <item x="67"/>
        <item x="152"/>
        <item x="34"/>
        <item x="312"/>
        <item x="90"/>
        <item x="284"/>
        <item x="108"/>
        <item x="424"/>
        <item x="162"/>
        <item x="79"/>
        <item x="255"/>
        <item x="387"/>
        <item x="25"/>
        <item x="285"/>
        <item x="241"/>
        <item x="39"/>
        <item x="213"/>
        <item x="5"/>
        <item x="169"/>
        <item x="361"/>
        <item x="325"/>
        <item x="54"/>
        <item x="417"/>
        <item x="384"/>
        <item x="318"/>
        <item x="62"/>
        <item x="278"/>
        <item x="276"/>
        <item x="357"/>
        <item x="410"/>
        <item x="239"/>
        <item x="363"/>
        <item x="153"/>
        <item x="346"/>
        <item x="109"/>
        <item x="193"/>
        <item x="220"/>
        <item x="136"/>
        <item x="222"/>
        <item x="167"/>
        <item x="73"/>
        <item x="274"/>
        <item x="41"/>
        <item x="316"/>
        <item x="113"/>
        <item x="369"/>
        <item x="412"/>
        <item x="371"/>
        <item x="149"/>
        <item x="292"/>
        <item x="0"/>
        <item x="323"/>
        <item x="14"/>
        <item x="4"/>
        <item x="200"/>
        <item x="352"/>
        <item x="390"/>
        <item x="302"/>
        <item x="373"/>
        <item x="306"/>
        <item x="251"/>
        <item x="126"/>
        <item x="288"/>
        <item x="411"/>
        <item x="347"/>
        <item x="271"/>
        <item x="182"/>
        <item x="92"/>
        <item x="19"/>
        <item x="404"/>
        <item x="209"/>
        <item x="176"/>
        <item x="53"/>
        <item x="178"/>
        <item x="212"/>
        <item x="207"/>
        <item x="11"/>
        <item x="261"/>
        <item x="418"/>
        <item x="23"/>
        <item x="360"/>
        <item x="111"/>
        <item x="158"/>
        <item x="396"/>
        <item x="94"/>
        <item x="298"/>
        <item x="252"/>
        <item x="161"/>
        <item x="172"/>
        <item x="229"/>
        <item x="210"/>
        <item x="146"/>
        <item x="403"/>
        <item x="75"/>
        <item x="297"/>
        <item x="304"/>
        <item x="91"/>
        <item x="97"/>
        <item x="20"/>
        <item x="190"/>
        <item x="408"/>
        <item x="281"/>
        <item x="290"/>
        <item x="221"/>
        <item x="326"/>
        <item x="294"/>
        <item x="345"/>
        <item x="13"/>
        <item x="83"/>
        <item x="244"/>
        <item x="72"/>
        <item x="76"/>
        <item x="119"/>
        <item x="99"/>
        <item x="155"/>
        <item x="337"/>
        <item x="248"/>
        <item x="315"/>
        <item x="56"/>
        <item x="328"/>
        <item x="63"/>
        <item x="381"/>
        <item x="265"/>
        <item x="199"/>
        <item x="148"/>
        <item x="170"/>
        <item x="389"/>
        <item x="52"/>
        <item x="376"/>
        <item x="342"/>
        <item x="96"/>
        <item x="370"/>
        <item x="313"/>
        <item x="279"/>
        <item t="default"/>
      </items>
    </pivotField>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
    <i>
      <x/>
    </i>
    <i>
      <x v="1"/>
    </i>
    <i>
      <x v="2"/>
    </i>
    <i t="grand">
      <x/>
    </i>
  </rowItems>
  <colItems count="1">
    <i/>
  </colItems>
  <dataFields count="1">
    <dataField name="Sum of Amount" fld="3" baseField="0" baseItem="0" numFmtId="3"/>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4" count="1" selected="0">
            <x v="0"/>
          </reference>
        </references>
      </pivotArea>
    </chartFormat>
    <chartFormat chart="5" format="7">
      <pivotArea type="data" outline="0" fieldPosition="0">
        <references count="2">
          <reference field="4294967294" count="1" selected="0">
            <x v="0"/>
          </reference>
          <reference field="4" count="1" selected="0">
            <x v="1"/>
          </reference>
        </references>
      </pivotArea>
    </chartFormat>
    <chartFormat chart="5"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2C68FFD-D391-4577-B8A1-D77771D6621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C15" firstHeaderRow="0" firstDataRow="1" firstDataCol="1"/>
  <pivotFields count="17">
    <pivotField numFmtId="164" showAll="0">
      <items count="345">
        <item x="85"/>
        <item x="23"/>
        <item x="144"/>
        <item x="195"/>
        <item x="230"/>
        <item x="261"/>
        <item x="22"/>
        <item x="20"/>
        <item x="289"/>
        <item x="94"/>
        <item x="337"/>
        <item x="154"/>
        <item x="247"/>
        <item x="329"/>
        <item x="56"/>
        <item x="287"/>
        <item x="28"/>
        <item x="204"/>
        <item x="83"/>
        <item x="102"/>
        <item x="18"/>
        <item x="231"/>
        <item x="15"/>
        <item x="1"/>
        <item x="244"/>
        <item x="158"/>
        <item x="303"/>
        <item x="175"/>
        <item x="39"/>
        <item x="183"/>
        <item x="6"/>
        <item x="269"/>
        <item x="260"/>
        <item x="184"/>
        <item x="340"/>
        <item x="155"/>
        <item x="57"/>
        <item x="266"/>
        <item x="257"/>
        <item x="147"/>
        <item x="279"/>
        <item x="50"/>
        <item x="53"/>
        <item x="129"/>
        <item x="0"/>
        <item x="12"/>
        <item x="2"/>
        <item x="43"/>
        <item x="273"/>
        <item x="176"/>
        <item x="174"/>
        <item x="73"/>
        <item x="328"/>
        <item x="59"/>
        <item x="66"/>
        <item x="274"/>
        <item x="264"/>
        <item x="173"/>
        <item x="113"/>
        <item x="343"/>
        <item x="178"/>
        <item x="216"/>
        <item x="4"/>
        <item x="7"/>
        <item x="233"/>
        <item x="188"/>
        <item x="271"/>
        <item x="207"/>
        <item x="313"/>
        <item x="321"/>
        <item x="220"/>
        <item x="127"/>
        <item x="140"/>
        <item x="118"/>
        <item x="290"/>
        <item x="177"/>
        <item x="278"/>
        <item x="21"/>
        <item x="51"/>
        <item x="130"/>
        <item x="34"/>
        <item x="89"/>
        <item x="169"/>
        <item x="48"/>
        <item x="302"/>
        <item x="29"/>
        <item x="101"/>
        <item x="206"/>
        <item x="282"/>
        <item x="251"/>
        <item x="341"/>
        <item x="310"/>
        <item x="152"/>
        <item x="45"/>
        <item x="98"/>
        <item x="16"/>
        <item x="150"/>
        <item x="307"/>
        <item x="187"/>
        <item x="67"/>
        <item x="170"/>
        <item x="68"/>
        <item x="258"/>
        <item x="112"/>
        <item x="69"/>
        <item x="239"/>
        <item x="106"/>
        <item x="49"/>
        <item x="95"/>
        <item x="338"/>
        <item x="210"/>
        <item x="109"/>
        <item x="327"/>
        <item x="145"/>
        <item x="200"/>
        <item x="5"/>
        <item x="47"/>
        <item x="30"/>
        <item x="134"/>
        <item x="281"/>
        <item x="285"/>
        <item x="288"/>
        <item x="333"/>
        <item x="179"/>
        <item x="17"/>
        <item x="309"/>
        <item x="92"/>
        <item x="306"/>
        <item x="27"/>
        <item x="241"/>
        <item x="226"/>
        <item x="31"/>
        <item x="124"/>
        <item x="312"/>
        <item x="37"/>
        <item x="80"/>
        <item x="331"/>
        <item x="212"/>
        <item x="61"/>
        <item x="32"/>
        <item x="136"/>
        <item x="325"/>
        <item x="3"/>
        <item x="209"/>
        <item x="292"/>
        <item x="142"/>
        <item x="41"/>
        <item x="330"/>
        <item x="246"/>
        <item x="213"/>
        <item x="286"/>
        <item x="107"/>
        <item x="62"/>
        <item x="324"/>
        <item x="156"/>
        <item x="137"/>
        <item x="243"/>
        <item x="256"/>
        <item x="265"/>
        <item x="320"/>
        <item x="319"/>
        <item x="149"/>
        <item x="78"/>
        <item x="36"/>
        <item x="342"/>
        <item x="186"/>
        <item x="86"/>
        <item x="38"/>
        <item x="228"/>
        <item x="194"/>
        <item x="103"/>
        <item x="317"/>
        <item x="255"/>
        <item x="322"/>
        <item x="227"/>
        <item x="240"/>
        <item x="164"/>
        <item x="123"/>
        <item x="52"/>
        <item x="157"/>
        <item x="182"/>
        <item x="24"/>
        <item x="90"/>
        <item x="316"/>
        <item x="180"/>
        <item x="284"/>
        <item x="203"/>
        <item x="305"/>
        <item x="249"/>
        <item x="160"/>
        <item x="70"/>
        <item x="72"/>
        <item x="301"/>
        <item x="314"/>
        <item x="193"/>
        <item x="198"/>
        <item x="111"/>
        <item x="104"/>
        <item x="114"/>
        <item x="263"/>
        <item x="242"/>
        <item x="295"/>
        <item x="97"/>
        <item x="225"/>
        <item x="293"/>
        <item x="44"/>
        <item x="105"/>
        <item x="128"/>
        <item x="280"/>
        <item x="133"/>
        <item x="224"/>
        <item x="132"/>
        <item x="19"/>
        <item x="159"/>
        <item x="229"/>
        <item x="108"/>
        <item x="235"/>
        <item x="222"/>
        <item x="116"/>
        <item x="181"/>
        <item x="332"/>
        <item x="119"/>
        <item x="161"/>
        <item x="153"/>
        <item x="300"/>
        <item x="192"/>
        <item x="167"/>
        <item x="335"/>
        <item x="81"/>
        <item x="323"/>
        <item x="121"/>
        <item x="267"/>
        <item x="8"/>
        <item x="196"/>
        <item x="33"/>
        <item x="82"/>
        <item x="162"/>
        <item x="275"/>
        <item x="26"/>
        <item x="9"/>
        <item x="143"/>
        <item x="202"/>
        <item x="42"/>
        <item x="211"/>
        <item x="64"/>
        <item x="315"/>
        <item x="294"/>
        <item x="197"/>
        <item x="122"/>
        <item x="117"/>
        <item x="165"/>
        <item x="75"/>
        <item x="84"/>
        <item x="277"/>
        <item x="185"/>
        <item x="259"/>
        <item x="40"/>
        <item x="201"/>
        <item x="253"/>
        <item x="214"/>
        <item x="208"/>
        <item x="126"/>
        <item x="71"/>
        <item x="191"/>
        <item x="146"/>
        <item x="283"/>
        <item x="58"/>
        <item x="236"/>
        <item x="76"/>
        <item x="63"/>
        <item x="74"/>
        <item x="138"/>
        <item x="120"/>
        <item x="268"/>
        <item x="238"/>
        <item x="148"/>
        <item x="219"/>
        <item x="10"/>
        <item x="270"/>
        <item x="339"/>
        <item x="55"/>
        <item x="131"/>
        <item x="25"/>
        <item x="245"/>
        <item x="276"/>
        <item x="151"/>
        <item x="318"/>
        <item x="93"/>
        <item x="334"/>
        <item x="326"/>
        <item x="65"/>
        <item x="234"/>
        <item x="262"/>
        <item x="96"/>
        <item x="336"/>
        <item x="46"/>
        <item x="35"/>
        <item x="291"/>
        <item x="135"/>
        <item x="254"/>
        <item x="88"/>
        <item x="163"/>
        <item x="252"/>
        <item x="60"/>
        <item x="172"/>
        <item x="272"/>
        <item x="139"/>
        <item x="13"/>
        <item x="141"/>
        <item x="237"/>
        <item x="11"/>
        <item x="87"/>
        <item x="297"/>
        <item x="110"/>
        <item x="304"/>
        <item x="215"/>
        <item x="171"/>
        <item x="299"/>
        <item x="223"/>
        <item x="296"/>
        <item x="168"/>
        <item x="190"/>
        <item x="205"/>
        <item x="217"/>
        <item x="199"/>
        <item x="189"/>
        <item x="311"/>
        <item x="232"/>
        <item x="166"/>
        <item x="298"/>
        <item x="125"/>
        <item x="77"/>
        <item x="221"/>
        <item x="14"/>
        <item x="308"/>
        <item x="248"/>
        <item x="250"/>
        <item x="79"/>
        <item x="99"/>
        <item x="218"/>
        <item x="115"/>
        <item x="54"/>
        <item x="100"/>
        <item x="91"/>
        <item t="default"/>
      </items>
    </pivotField>
    <pivotField axis="axisRow" showAll="0">
      <items count="13">
        <item x="11"/>
        <item x="1"/>
        <item x="4"/>
        <item x="3"/>
        <item x="2"/>
        <item x="7"/>
        <item x="0"/>
        <item x="6"/>
        <item x="10"/>
        <item x="8"/>
        <item x="9"/>
        <item x="5"/>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Sum of Amount" fld="3" baseField="0" baseItem="0" numFmtId="3"/>
    <dataField name="Sum of Amount2" fld="3" showDataAs="percentOfTotal" baseField="0" baseItem="0" numFmtId="10"/>
  </dataFields>
  <formats count="3">
    <format dxfId="17">
      <pivotArea outline="0" collapsedLevelsAreSubtotals="1" fieldPosition="0"/>
    </format>
    <format dxfId="16">
      <pivotArea dataOnly="0" labelOnly="1" outline="0" axis="axisValues" fieldPosition="0"/>
    </format>
    <format dxfId="15">
      <pivotArea outline="0" fieldPosition="0">
        <references count="1">
          <reference field="4294967294" count="1">
            <x v="1"/>
          </reference>
        </references>
      </pivotArea>
    </format>
  </formats>
  <conditionalFormats count="1">
    <conditionalFormat priority="8">
      <pivotAreas count="1">
        <pivotArea type="data" collapsedLevelsAreSubtotals="1" fieldPosition="0">
          <references count="2">
            <reference field="4294967294" count="1" selected="0">
              <x v="1"/>
            </reference>
            <reference field="1" count="12">
              <x v="0"/>
              <x v="1"/>
              <x v="2"/>
              <x v="3"/>
              <x v="4"/>
              <x v="5"/>
              <x v="6"/>
              <x v="7"/>
              <x v="8"/>
              <x v="9"/>
              <x v="10"/>
              <x v="11"/>
            </reference>
          </references>
        </pivotArea>
      </pivotAreas>
    </conditionalFormat>
  </conditional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1" xr10:uid="{79EAF062-8D00-4703-9166-01DA9CB3C141}" sourceName="Supplier">
  <pivotTables>
    <pivotTable tabId="2" name="PivotTable1"/>
  </pivotTables>
  <data>
    <tabular pivotCacheId="1727016374">
      <items count="12">
        <i x="11" s="1"/>
        <i x="1" s="1"/>
        <i x="4" s="1"/>
        <i x="3" s="1"/>
        <i x="2" s="1"/>
        <i x="7" s="1"/>
        <i x="0" s="1"/>
        <i x="6" s="1"/>
        <i x="10" s="1"/>
        <i x="8" s="1"/>
        <i x="9"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AE21B34-D449-4D34-B326-964C60E95892}" sourceName="Category">
  <pivotTables>
    <pivotTable tabId="2" name="PivotTable2"/>
  </pivotTables>
  <data>
    <tabular pivotCacheId="1727016374">
      <items count="10">
        <i x="6" s="1"/>
        <i x="7" s="1"/>
        <i x="9" s="1"/>
        <i x="2" s="1"/>
        <i x="4" s="1"/>
        <i x="0" s="1"/>
        <i x="5" s="1"/>
        <i x="1" s="1"/>
        <i x="3"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D6E09ECE-E572-4B24-A2D2-F3F3794AFCC5}" sourceName="Delivery Status">
  <pivotTables>
    <pivotTable tabId="2" name="PivotTable4"/>
  </pivotTables>
  <data>
    <tabular pivotCacheId="1727016374">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oice_Status" xr10:uid="{E603C12B-6220-4560-A51C-F5A8FBC86B84}" sourceName="Invoice Status">
  <pivotTables>
    <pivotTable tabId="2" name="PivotTable5"/>
  </pivotTables>
  <data>
    <tabular pivotCacheId="1727016374">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cy" xr10:uid="{AE202230-EFB7-4A2A-A598-6485F9341EE8}" sourceName="Currency">
  <pivotTables>
    <pivotTable tabId="2" name="PivotTable3"/>
  </pivotTables>
  <data>
    <tabular pivotCacheId="172701637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1" xr10:uid="{35F6E976-C5CA-4D94-9776-1A6C20EED008}" cache="Slicer_Supplier1" caption="Supplier" rowHeight="234950"/>
  <slicer name="Category 1" xr10:uid="{CA99C547-2E7F-43F1-8B27-2C9384D14862}" cache="Slicer_Category" caption="Category" rowHeight="234950"/>
  <slicer name="Delivery Status 1" xr10:uid="{3D7E1AE5-4B5D-4399-8625-0C0C51EF15B2}" cache="Slicer_Delivery_Status" caption="Delivery Status" rowHeight="234950"/>
  <slicer name="Invoice Status 1" xr10:uid="{8245846F-CE3D-4638-AC50-BEE4AD4E86EF}" cache="Slicer_Invoice_Status" caption="Invoice Status" rowHeight="234950"/>
  <slicer name="Currency 1" xr10:uid="{E155616E-9D9A-4608-8CA9-380487E7B680}" cache="Slicer_Currency" caption="Currenc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pendDataTbl" displayName="SpendDataTbl" ref="A1:O1001">
  <tableColumns count="15">
    <tableColumn id="1" xr3:uid="{00000000-0010-0000-0000-000001000000}" name="Date" dataDxfId="18"/>
    <tableColumn id="2" xr3:uid="{00000000-0010-0000-0000-000002000000}" name="Supplier"/>
    <tableColumn id="3" xr3:uid="{00000000-0010-0000-0000-000003000000}" name="Category"/>
    <tableColumn id="4" xr3:uid="{00000000-0010-0000-0000-000004000000}" name="Amount"/>
    <tableColumn id="5" xr3:uid="{00000000-0010-0000-0000-000005000000}" name="Currency"/>
    <tableColumn id="6" xr3:uid="{00000000-0010-0000-0000-000006000000}" name="PO Number"/>
    <tableColumn id="7" xr3:uid="{00000000-0010-0000-0000-000007000000}" name="Delivery Status"/>
    <tableColumn id="8" xr3:uid="{00000000-0010-0000-0000-000008000000}" name="Defects"/>
    <tableColumn id="9" xr3:uid="{00000000-0010-0000-0000-000009000000}" name="Buyer"/>
    <tableColumn id="10" xr3:uid="{00000000-0010-0000-0000-00000A000000}" name="Spend Type"/>
    <tableColumn id="11" xr3:uid="{00000000-0010-0000-0000-00000B000000}" name="Contract Type"/>
    <tableColumn id="12" xr3:uid="{00000000-0010-0000-0000-00000C000000}" name="Supplier Risk Score"/>
    <tableColumn id="13" xr3:uid="{00000000-0010-0000-0000-00000D000000}" name="Payment Terms"/>
    <tableColumn id="14" xr3:uid="{00000000-0010-0000-0000-00000E000000}" name="Invoice Status"/>
    <tableColumn id="15" xr3:uid="{00000000-0010-0000-0000-00000F000000}" name="Lead Time (days)"/>
  </tableColumns>
  <tableStyleInfo name="TableStyleMedium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DCF82-D64C-477E-AD60-06675A94C84A}">
  <sheetPr>
    <pageSetUpPr fitToPage="1"/>
  </sheetPr>
  <dimension ref="A1:A99"/>
  <sheetViews>
    <sheetView showGridLines="0" tabSelected="1" zoomScaleNormal="100" zoomScaleSheetLayoutView="73" workbookViewId="0">
      <selection activeCell="V55" sqref="V55"/>
    </sheetView>
  </sheetViews>
  <sheetFormatPr defaultRowHeight="14.4"/>
  <sheetData>
    <row r="1" spans="1:1" ht="23.4">
      <c r="A1" s="45" t="s">
        <v>1114</v>
      </c>
    </row>
    <row r="2" spans="1:1">
      <c r="A2" s="46"/>
    </row>
    <row r="3" spans="1:1">
      <c r="A3" s="46" t="s">
        <v>1115</v>
      </c>
    </row>
    <row r="4" spans="1:1">
      <c r="A4" s="46"/>
    </row>
    <row r="5" spans="1:1">
      <c r="A5" s="46" t="s">
        <v>1116</v>
      </c>
    </row>
    <row r="6" spans="1:1">
      <c r="A6" s="46"/>
    </row>
    <row r="7" spans="1:1">
      <c r="A7" s="46" t="s">
        <v>1117</v>
      </c>
    </row>
    <row r="8" spans="1:1">
      <c r="A8" s="46"/>
    </row>
    <row r="9" spans="1:1">
      <c r="A9" s="46" t="s">
        <v>1118</v>
      </c>
    </row>
    <row r="11" spans="1:1" ht="23.4">
      <c r="A11" s="45" t="s">
        <v>1119</v>
      </c>
    </row>
    <row r="12" spans="1:1">
      <c r="A12" s="46"/>
    </row>
    <row r="13" spans="1:1">
      <c r="A13" s="46" t="s">
        <v>1120</v>
      </c>
    </row>
    <row r="14" spans="1:1">
      <c r="A14" s="46"/>
    </row>
    <row r="15" spans="1:1">
      <c r="A15" s="46" t="s">
        <v>1121</v>
      </c>
    </row>
    <row r="16" spans="1:1">
      <c r="A16" s="46"/>
    </row>
    <row r="17" spans="1:1">
      <c r="A17" s="46" t="s">
        <v>1122</v>
      </c>
    </row>
    <row r="18" spans="1:1">
      <c r="A18" s="46"/>
    </row>
    <row r="19" spans="1:1">
      <c r="A19" s="46" t="s">
        <v>1123</v>
      </c>
    </row>
    <row r="20" spans="1:1">
      <c r="A20" s="46"/>
    </row>
    <row r="21" spans="1:1">
      <c r="A21" s="46" t="s">
        <v>1124</v>
      </c>
    </row>
    <row r="23" spans="1:1" ht="23.4">
      <c r="A23" s="45" t="s">
        <v>1125</v>
      </c>
    </row>
    <row r="24" spans="1:1">
      <c r="A24" s="46"/>
    </row>
    <row r="25" spans="1:1">
      <c r="A25" s="46" t="s">
        <v>1126</v>
      </c>
    </row>
    <row r="26" spans="1:1">
      <c r="A26" s="46"/>
    </row>
    <row r="27" spans="1:1">
      <c r="A27" s="46" t="s">
        <v>1127</v>
      </c>
    </row>
    <row r="28" spans="1:1">
      <c r="A28" s="46"/>
    </row>
    <row r="29" spans="1:1">
      <c r="A29" s="46" t="s">
        <v>1128</v>
      </c>
    </row>
    <row r="30" spans="1:1">
      <c r="A30" s="47"/>
    </row>
    <row r="31" spans="1:1">
      <c r="A31" s="47" t="s">
        <v>1129</v>
      </c>
    </row>
    <row r="32" spans="1:1">
      <c r="A32" s="47"/>
    </row>
    <row r="33" spans="1:1">
      <c r="A33" s="47" t="s">
        <v>1130</v>
      </c>
    </row>
    <row r="34" spans="1:1">
      <c r="A34" s="46"/>
    </row>
    <row r="35" spans="1:1">
      <c r="A35" s="46" t="s">
        <v>1131</v>
      </c>
    </row>
    <row r="36" spans="1:1">
      <c r="A36" s="47"/>
    </row>
    <row r="37" spans="1:1">
      <c r="A37" s="47" t="s">
        <v>1132</v>
      </c>
    </row>
    <row r="38" spans="1:1">
      <c r="A38" s="46"/>
    </row>
    <row r="39" spans="1:1">
      <c r="A39" s="46" t="s">
        <v>1133</v>
      </c>
    </row>
    <row r="40" spans="1:1">
      <c r="A40" s="47"/>
    </row>
    <row r="41" spans="1:1">
      <c r="A41" s="47" t="s">
        <v>1134</v>
      </c>
    </row>
    <row r="43" spans="1:1" ht="23.4">
      <c r="A43" s="45" t="s">
        <v>1135</v>
      </c>
    </row>
    <row r="45" spans="1:1">
      <c r="A45" t="s">
        <v>1136</v>
      </c>
    </row>
    <row r="46" spans="1:1">
      <c r="A46" s="46"/>
    </row>
    <row r="47" spans="1:1">
      <c r="A47" s="48" t="s">
        <v>1137</v>
      </c>
    </row>
    <row r="48" spans="1:1">
      <c r="A48" s="46"/>
    </row>
    <row r="49" spans="1:1">
      <c r="A49" s="48" t="s">
        <v>1138</v>
      </c>
    </row>
    <row r="50" spans="1:1">
      <c r="A50" s="46"/>
    </row>
    <row r="51" spans="1:1">
      <c r="A51" s="48" t="s">
        <v>1139</v>
      </c>
    </row>
    <row r="52" spans="1:1">
      <c r="A52" s="46"/>
    </row>
    <row r="53" spans="1:1">
      <c r="A53" s="48" t="s">
        <v>1140</v>
      </c>
    </row>
    <row r="54" spans="1:1">
      <c r="A54" s="46"/>
    </row>
    <row r="55" spans="1:1">
      <c r="A55" s="48" t="s">
        <v>1141</v>
      </c>
    </row>
    <row r="56" spans="1:1">
      <c r="A56" s="46"/>
    </row>
    <row r="57" spans="1:1">
      <c r="A57" s="48" t="s">
        <v>1142</v>
      </c>
    </row>
    <row r="58" spans="1:1">
      <c r="A58" s="46"/>
    </row>
    <row r="59" spans="1:1">
      <c r="A59" s="48" t="s">
        <v>1143</v>
      </c>
    </row>
    <row r="60" spans="1:1">
      <c r="A60" s="46"/>
    </row>
    <row r="61" spans="1:1">
      <c r="A61" s="48" t="s">
        <v>1144</v>
      </c>
    </row>
    <row r="62" spans="1:1">
      <c r="A62" s="46"/>
    </row>
    <row r="63" spans="1:1">
      <c r="A63" s="48" t="s">
        <v>1145</v>
      </c>
    </row>
    <row r="64" spans="1:1">
      <c r="A64" s="46"/>
    </row>
    <row r="65" spans="1:1">
      <c r="A65" s="48" t="s">
        <v>1146</v>
      </c>
    </row>
    <row r="66" spans="1:1">
      <c r="A66" s="46"/>
    </row>
    <row r="67" spans="1:1">
      <c r="A67" s="48" t="s">
        <v>1147</v>
      </c>
    </row>
    <row r="68" spans="1:1">
      <c r="A68" s="46"/>
    </row>
    <row r="69" spans="1:1">
      <c r="A69" s="48" t="s">
        <v>1148</v>
      </c>
    </row>
    <row r="70" spans="1:1">
      <c r="A70" s="46"/>
    </row>
    <row r="71" spans="1:1">
      <c r="A71" s="48" t="s">
        <v>1149</v>
      </c>
    </row>
    <row r="73" spans="1:1" ht="23.4">
      <c r="A73" s="45" t="s">
        <v>1150</v>
      </c>
    </row>
    <row r="74" spans="1:1">
      <c r="A74" s="46"/>
    </row>
    <row r="75" spans="1:1">
      <c r="A75" s="46" t="s">
        <v>1151</v>
      </c>
    </row>
    <row r="76" spans="1:1">
      <c r="A76" s="46"/>
    </row>
    <row r="77" spans="1:1">
      <c r="A77" s="46" t="s">
        <v>1152</v>
      </c>
    </row>
    <row r="78" spans="1:1">
      <c r="A78" s="46"/>
    </row>
    <row r="79" spans="1:1">
      <c r="A79" s="46" t="s">
        <v>1153</v>
      </c>
    </row>
    <row r="80" spans="1:1">
      <c r="A80" s="46"/>
    </row>
    <row r="81" spans="1:1">
      <c r="A81" s="46" t="s">
        <v>1154</v>
      </c>
    </row>
    <row r="82" spans="1:1">
      <c r="A82" s="46"/>
    </row>
    <row r="83" spans="1:1">
      <c r="A83" s="46" t="s">
        <v>1155</v>
      </c>
    </row>
    <row r="84" spans="1:1">
      <c r="A84" s="46"/>
    </row>
    <row r="85" spans="1:1">
      <c r="A85" s="46" t="s">
        <v>1156</v>
      </c>
    </row>
    <row r="86" spans="1:1">
      <c r="A86" s="46"/>
    </row>
    <row r="87" spans="1:1">
      <c r="A87" s="46" t="s">
        <v>1157</v>
      </c>
    </row>
    <row r="88" spans="1:1">
      <c r="A88" s="46"/>
    </row>
    <row r="89" spans="1:1">
      <c r="A89" s="46" t="s">
        <v>1163</v>
      </c>
    </row>
    <row r="91" spans="1:1" ht="23.4">
      <c r="A91" s="45" t="s">
        <v>1158</v>
      </c>
    </row>
    <row r="92" spans="1:1">
      <c r="A92" s="46"/>
    </row>
    <row r="93" spans="1:1">
      <c r="A93" s="46" t="s">
        <v>1159</v>
      </c>
    </row>
    <row r="94" spans="1:1">
      <c r="A94" s="46"/>
    </row>
    <row r="95" spans="1:1">
      <c r="A95" s="46" t="s">
        <v>1160</v>
      </c>
    </row>
    <row r="96" spans="1:1">
      <c r="A96" s="46"/>
    </row>
    <row r="97" spans="1:1">
      <c r="A97" s="46" t="s">
        <v>1161</v>
      </c>
    </row>
    <row r="98" spans="1:1">
      <c r="A98" s="46"/>
    </row>
    <row r="99" spans="1:1">
      <c r="A99" s="46" t="s">
        <v>1162</v>
      </c>
    </row>
  </sheetData>
  <printOptions horizontalCentered="1" verticalCentered="1"/>
  <pageMargins left="0.19685039370078741" right="0.19685039370078741" top="0.19685039370078741" bottom="0.19685039370078741" header="0.19685039370078741" footer="0.19685039370078741"/>
  <pageSetup paperSize="9" scale="4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1"/>
  <sheetViews>
    <sheetView workbookViewId="0">
      <selection activeCell="G16" sqref="G16"/>
    </sheetView>
  </sheetViews>
  <sheetFormatPr defaultRowHeight="14.4"/>
  <cols>
    <col min="1" max="1" width="10.44140625" style="4" bestFit="1" customWidth="1"/>
    <col min="2" max="2" width="20.77734375" bestFit="1" customWidth="1"/>
    <col min="3" max="3" width="15.77734375" bestFit="1" customWidth="1"/>
    <col min="4" max="4" width="10.109375" bestFit="1" customWidth="1"/>
    <col min="5" max="5" width="10.77734375" bestFit="1" customWidth="1"/>
    <col min="6" max="6" width="13.109375" bestFit="1" customWidth="1"/>
    <col min="7" max="7" width="16.109375" bestFit="1" customWidth="1"/>
    <col min="8" max="8" width="9.6640625" bestFit="1" customWidth="1"/>
    <col min="9" max="9" width="13.77734375" bestFit="1" customWidth="1"/>
    <col min="10" max="10" width="13.109375" bestFit="1" customWidth="1"/>
    <col min="11" max="11" width="15" bestFit="1" customWidth="1"/>
    <col min="12" max="12" width="19.44140625" bestFit="1" customWidth="1"/>
    <col min="13" max="13" width="16.44140625" bestFit="1" customWidth="1"/>
    <col min="14" max="14" width="15.109375" bestFit="1" customWidth="1"/>
    <col min="15" max="15" width="17.5546875" customWidth="1"/>
  </cols>
  <sheetData>
    <row r="1" spans="1:15">
      <c r="A1" s="3" t="s">
        <v>0</v>
      </c>
      <c r="B1" s="1" t="s">
        <v>1</v>
      </c>
      <c r="C1" s="1" t="s">
        <v>2</v>
      </c>
      <c r="D1" s="1" t="s">
        <v>3</v>
      </c>
      <c r="E1" s="1" t="s">
        <v>4</v>
      </c>
      <c r="F1" s="16" t="s">
        <v>5</v>
      </c>
      <c r="G1" s="1" t="s">
        <v>6</v>
      </c>
      <c r="H1" s="1" t="s">
        <v>7</v>
      </c>
      <c r="I1" s="1" t="s">
        <v>8</v>
      </c>
      <c r="J1" s="1" t="s">
        <v>9</v>
      </c>
      <c r="K1" s="1" t="s">
        <v>10</v>
      </c>
      <c r="L1" s="1" t="s">
        <v>11</v>
      </c>
      <c r="M1" s="1" t="s">
        <v>12</v>
      </c>
      <c r="N1" s="16" t="s">
        <v>13</v>
      </c>
      <c r="O1" s="1" t="s">
        <v>14</v>
      </c>
    </row>
    <row r="2" spans="1:15">
      <c r="A2" s="4">
        <v>45706</v>
      </c>
      <c r="B2" t="s">
        <v>51</v>
      </c>
      <c r="C2" t="s">
        <v>52</v>
      </c>
      <c r="D2">
        <v>4040</v>
      </c>
      <c r="E2" t="s">
        <v>53</v>
      </c>
      <c r="F2" t="s">
        <v>54</v>
      </c>
      <c r="G2" t="s">
        <v>45</v>
      </c>
      <c r="H2" t="s">
        <v>55</v>
      </c>
      <c r="I2" t="s">
        <v>56</v>
      </c>
      <c r="J2" t="s">
        <v>57</v>
      </c>
      <c r="K2" t="s">
        <v>58</v>
      </c>
      <c r="L2">
        <v>1</v>
      </c>
      <c r="M2">
        <v>60</v>
      </c>
      <c r="N2" t="s">
        <v>59</v>
      </c>
      <c r="O2">
        <v>4</v>
      </c>
    </row>
    <row r="3" spans="1:15">
      <c r="A3" s="4">
        <v>45683</v>
      </c>
      <c r="B3" t="s">
        <v>60</v>
      </c>
      <c r="C3" t="s">
        <v>61</v>
      </c>
      <c r="D3">
        <v>700</v>
      </c>
      <c r="E3" t="s">
        <v>62</v>
      </c>
      <c r="F3" t="s">
        <v>63</v>
      </c>
      <c r="G3" t="s">
        <v>46</v>
      </c>
      <c r="H3" t="s">
        <v>55</v>
      </c>
      <c r="I3" t="s">
        <v>64</v>
      </c>
      <c r="J3" t="s">
        <v>65</v>
      </c>
      <c r="K3" t="s">
        <v>66</v>
      </c>
      <c r="L3">
        <v>3</v>
      </c>
      <c r="M3">
        <v>45</v>
      </c>
      <c r="N3" t="s">
        <v>59</v>
      </c>
      <c r="O3">
        <v>18</v>
      </c>
    </row>
    <row r="4" spans="1:15">
      <c r="A4" s="4">
        <v>45708</v>
      </c>
      <c r="B4" t="s">
        <v>67</v>
      </c>
      <c r="C4" t="s">
        <v>68</v>
      </c>
      <c r="D4">
        <v>1730</v>
      </c>
      <c r="E4" t="s">
        <v>62</v>
      </c>
      <c r="F4" t="s">
        <v>69</v>
      </c>
      <c r="G4" t="s">
        <v>45</v>
      </c>
      <c r="H4" t="s">
        <v>70</v>
      </c>
      <c r="I4" t="s">
        <v>56</v>
      </c>
      <c r="J4" t="s">
        <v>65</v>
      </c>
      <c r="K4" t="s">
        <v>66</v>
      </c>
      <c r="L4">
        <v>2</v>
      </c>
      <c r="M4">
        <v>45</v>
      </c>
      <c r="N4" t="s">
        <v>71</v>
      </c>
      <c r="O4">
        <v>9</v>
      </c>
    </row>
    <row r="5" spans="1:15">
      <c r="A5" s="4">
        <v>45810</v>
      </c>
      <c r="B5" t="s">
        <v>72</v>
      </c>
      <c r="C5" t="s">
        <v>73</v>
      </c>
      <c r="D5">
        <v>880</v>
      </c>
      <c r="E5" t="s">
        <v>74</v>
      </c>
      <c r="F5" t="s">
        <v>75</v>
      </c>
      <c r="G5" t="s">
        <v>46</v>
      </c>
      <c r="H5" t="s">
        <v>55</v>
      </c>
      <c r="I5" t="s">
        <v>64</v>
      </c>
      <c r="J5" t="s">
        <v>65</v>
      </c>
      <c r="K5" t="s">
        <v>76</v>
      </c>
      <c r="L5">
        <v>3</v>
      </c>
      <c r="M5">
        <v>30</v>
      </c>
      <c r="N5" t="s">
        <v>59</v>
      </c>
      <c r="O5">
        <v>19</v>
      </c>
    </row>
    <row r="6" spans="1:15">
      <c r="A6" s="4">
        <v>45726</v>
      </c>
      <c r="B6" t="s">
        <v>72</v>
      </c>
      <c r="C6" t="s">
        <v>77</v>
      </c>
      <c r="D6">
        <v>4070</v>
      </c>
      <c r="E6" t="s">
        <v>74</v>
      </c>
      <c r="F6" t="s">
        <v>78</v>
      </c>
      <c r="G6" t="s">
        <v>46</v>
      </c>
      <c r="H6" t="s">
        <v>55</v>
      </c>
      <c r="I6" t="s">
        <v>79</v>
      </c>
      <c r="J6" t="s">
        <v>57</v>
      </c>
      <c r="K6" t="s">
        <v>76</v>
      </c>
      <c r="L6">
        <v>2</v>
      </c>
      <c r="M6">
        <v>60</v>
      </c>
      <c r="N6" t="s">
        <v>71</v>
      </c>
      <c r="O6">
        <v>6</v>
      </c>
    </row>
    <row r="7" spans="1:15">
      <c r="A7" s="4">
        <v>45782</v>
      </c>
      <c r="B7" t="s">
        <v>80</v>
      </c>
      <c r="C7" t="s">
        <v>81</v>
      </c>
      <c r="D7">
        <v>3610</v>
      </c>
      <c r="E7" t="s">
        <v>74</v>
      </c>
      <c r="F7" t="s">
        <v>82</v>
      </c>
      <c r="G7" t="s">
        <v>45</v>
      </c>
      <c r="H7" t="s">
        <v>70</v>
      </c>
      <c r="I7" t="s">
        <v>56</v>
      </c>
      <c r="J7" t="s">
        <v>57</v>
      </c>
      <c r="K7" t="s">
        <v>66</v>
      </c>
      <c r="L7">
        <v>2</v>
      </c>
      <c r="M7">
        <v>90</v>
      </c>
      <c r="N7" t="s">
        <v>71</v>
      </c>
      <c r="O7">
        <v>19</v>
      </c>
    </row>
    <row r="8" spans="1:15">
      <c r="A8" s="4">
        <v>45691</v>
      </c>
      <c r="B8" t="s">
        <v>51</v>
      </c>
      <c r="C8" t="s">
        <v>77</v>
      </c>
      <c r="D8">
        <v>3020</v>
      </c>
      <c r="E8" t="s">
        <v>74</v>
      </c>
      <c r="F8" t="s">
        <v>83</v>
      </c>
      <c r="G8" t="s">
        <v>45</v>
      </c>
      <c r="H8" t="s">
        <v>55</v>
      </c>
      <c r="I8" t="s">
        <v>84</v>
      </c>
      <c r="J8" t="s">
        <v>57</v>
      </c>
      <c r="K8" t="s">
        <v>58</v>
      </c>
      <c r="L8">
        <v>1</v>
      </c>
      <c r="M8">
        <v>45</v>
      </c>
      <c r="N8" t="s">
        <v>59</v>
      </c>
      <c r="O8">
        <v>10</v>
      </c>
    </row>
    <row r="9" spans="1:15">
      <c r="A9" s="4">
        <v>45727</v>
      </c>
      <c r="B9" t="s">
        <v>85</v>
      </c>
      <c r="C9" t="s">
        <v>86</v>
      </c>
      <c r="D9">
        <v>320</v>
      </c>
      <c r="E9" t="s">
        <v>62</v>
      </c>
      <c r="F9" t="s">
        <v>87</v>
      </c>
      <c r="G9" t="s">
        <v>45</v>
      </c>
      <c r="H9" t="s">
        <v>55</v>
      </c>
      <c r="I9" t="s">
        <v>88</v>
      </c>
      <c r="J9" t="s">
        <v>65</v>
      </c>
      <c r="K9" t="s">
        <v>66</v>
      </c>
      <c r="L9">
        <v>2</v>
      </c>
      <c r="M9">
        <v>30</v>
      </c>
      <c r="N9" t="s">
        <v>59</v>
      </c>
      <c r="O9">
        <v>17</v>
      </c>
    </row>
    <row r="10" spans="1:15">
      <c r="A10" s="4">
        <v>45907</v>
      </c>
      <c r="B10" t="s">
        <v>80</v>
      </c>
      <c r="C10" t="s">
        <v>81</v>
      </c>
      <c r="D10">
        <v>3260</v>
      </c>
      <c r="E10" t="s">
        <v>74</v>
      </c>
      <c r="F10" t="s">
        <v>89</v>
      </c>
      <c r="G10" t="s">
        <v>46</v>
      </c>
      <c r="H10" t="s">
        <v>55</v>
      </c>
      <c r="I10" t="s">
        <v>56</v>
      </c>
      <c r="J10" t="s">
        <v>65</v>
      </c>
      <c r="K10" t="s">
        <v>76</v>
      </c>
      <c r="L10">
        <v>1</v>
      </c>
      <c r="M10">
        <v>60</v>
      </c>
      <c r="N10" t="s">
        <v>59</v>
      </c>
      <c r="O10">
        <v>11</v>
      </c>
    </row>
    <row r="11" spans="1:15">
      <c r="A11" s="4">
        <v>45914</v>
      </c>
      <c r="B11" t="s">
        <v>90</v>
      </c>
      <c r="C11" t="s">
        <v>68</v>
      </c>
      <c r="D11">
        <v>2450</v>
      </c>
      <c r="E11" t="s">
        <v>53</v>
      </c>
      <c r="F11" t="s">
        <v>91</v>
      </c>
      <c r="G11" t="s">
        <v>46</v>
      </c>
      <c r="H11" t="s">
        <v>55</v>
      </c>
      <c r="I11" t="s">
        <v>92</v>
      </c>
      <c r="J11" t="s">
        <v>57</v>
      </c>
      <c r="K11" t="s">
        <v>76</v>
      </c>
      <c r="L11">
        <v>2</v>
      </c>
      <c r="M11">
        <v>30</v>
      </c>
      <c r="N11" t="s">
        <v>93</v>
      </c>
      <c r="O11">
        <v>3</v>
      </c>
    </row>
    <row r="12" spans="1:15">
      <c r="A12" s="4">
        <v>45955</v>
      </c>
      <c r="B12" t="s">
        <v>94</v>
      </c>
      <c r="C12" t="s">
        <v>95</v>
      </c>
      <c r="D12">
        <v>3360</v>
      </c>
      <c r="E12" t="s">
        <v>62</v>
      </c>
      <c r="F12" t="s">
        <v>96</v>
      </c>
      <c r="G12" t="s">
        <v>46</v>
      </c>
      <c r="H12" t="s">
        <v>55</v>
      </c>
      <c r="I12" t="s">
        <v>79</v>
      </c>
      <c r="J12" t="s">
        <v>57</v>
      </c>
      <c r="K12" t="s">
        <v>58</v>
      </c>
      <c r="L12">
        <v>1</v>
      </c>
      <c r="M12">
        <v>45</v>
      </c>
      <c r="N12" t="s">
        <v>93</v>
      </c>
      <c r="O12">
        <v>20</v>
      </c>
    </row>
    <row r="13" spans="1:15">
      <c r="A13" s="4">
        <v>45988</v>
      </c>
      <c r="B13" t="s">
        <v>97</v>
      </c>
      <c r="C13" t="s">
        <v>98</v>
      </c>
      <c r="D13">
        <v>3020</v>
      </c>
      <c r="E13" t="s">
        <v>62</v>
      </c>
      <c r="F13" t="s">
        <v>99</v>
      </c>
      <c r="G13" t="s">
        <v>45</v>
      </c>
      <c r="H13" t="s">
        <v>70</v>
      </c>
      <c r="I13" t="s">
        <v>92</v>
      </c>
      <c r="J13" t="s">
        <v>65</v>
      </c>
      <c r="K13" t="s">
        <v>76</v>
      </c>
      <c r="L13">
        <v>4</v>
      </c>
      <c r="M13">
        <v>90</v>
      </c>
      <c r="N13" t="s">
        <v>93</v>
      </c>
      <c r="O13">
        <v>7</v>
      </c>
    </row>
    <row r="14" spans="1:15">
      <c r="A14" s="4">
        <v>45707</v>
      </c>
      <c r="B14" t="s">
        <v>51</v>
      </c>
      <c r="C14" t="s">
        <v>68</v>
      </c>
      <c r="D14">
        <v>4320</v>
      </c>
      <c r="E14" t="s">
        <v>62</v>
      </c>
      <c r="F14" t="s">
        <v>100</v>
      </c>
      <c r="G14" t="s">
        <v>46</v>
      </c>
      <c r="H14" t="s">
        <v>70</v>
      </c>
      <c r="I14" t="s">
        <v>84</v>
      </c>
      <c r="J14" t="s">
        <v>57</v>
      </c>
      <c r="K14" t="s">
        <v>66</v>
      </c>
      <c r="L14">
        <v>4</v>
      </c>
      <c r="M14">
        <v>60</v>
      </c>
      <c r="N14" t="s">
        <v>59</v>
      </c>
      <c r="O14">
        <v>11</v>
      </c>
    </row>
    <row r="15" spans="1:15">
      <c r="A15" s="4">
        <v>45985</v>
      </c>
      <c r="B15" t="s">
        <v>101</v>
      </c>
      <c r="C15" t="s">
        <v>81</v>
      </c>
      <c r="D15">
        <v>1630</v>
      </c>
      <c r="E15" t="s">
        <v>62</v>
      </c>
      <c r="F15" t="s">
        <v>102</v>
      </c>
      <c r="G15" t="s">
        <v>46</v>
      </c>
      <c r="H15" t="s">
        <v>70</v>
      </c>
      <c r="I15" t="s">
        <v>88</v>
      </c>
      <c r="J15" t="s">
        <v>65</v>
      </c>
      <c r="K15" t="s">
        <v>76</v>
      </c>
      <c r="L15">
        <v>2</v>
      </c>
      <c r="M15">
        <v>90</v>
      </c>
      <c r="N15" t="s">
        <v>59</v>
      </c>
      <c r="O15">
        <v>16</v>
      </c>
    </row>
    <row r="16" spans="1:15">
      <c r="A16" s="4">
        <v>46012</v>
      </c>
      <c r="B16" t="s">
        <v>72</v>
      </c>
      <c r="C16" t="s">
        <v>95</v>
      </c>
      <c r="D16">
        <v>4690</v>
      </c>
      <c r="E16" t="s">
        <v>53</v>
      </c>
      <c r="F16" t="s">
        <v>103</v>
      </c>
      <c r="G16" t="s">
        <v>45</v>
      </c>
      <c r="H16" t="s">
        <v>70</v>
      </c>
      <c r="I16" t="s">
        <v>56</v>
      </c>
      <c r="J16" t="s">
        <v>57</v>
      </c>
      <c r="K16" t="s">
        <v>76</v>
      </c>
      <c r="L16">
        <v>5</v>
      </c>
      <c r="M16">
        <v>45</v>
      </c>
      <c r="N16" t="s">
        <v>71</v>
      </c>
      <c r="O16">
        <v>9</v>
      </c>
    </row>
    <row r="17" spans="1:15">
      <c r="A17" s="4">
        <v>45682</v>
      </c>
      <c r="B17" t="s">
        <v>80</v>
      </c>
      <c r="C17" t="s">
        <v>98</v>
      </c>
      <c r="D17">
        <v>4060</v>
      </c>
      <c r="E17" t="s">
        <v>74</v>
      </c>
      <c r="F17" t="s">
        <v>104</v>
      </c>
      <c r="G17" t="s">
        <v>45</v>
      </c>
      <c r="H17" t="s">
        <v>70</v>
      </c>
      <c r="I17" t="s">
        <v>79</v>
      </c>
      <c r="J17" t="s">
        <v>65</v>
      </c>
      <c r="K17" t="s">
        <v>76</v>
      </c>
      <c r="L17">
        <v>4</v>
      </c>
      <c r="M17">
        <v>90</v>
      </c>
      <c r="N17" t="s">
        <v>71</v>
      </c>
      <c r="O17">
        <v>3</v>
      </c>
    </row>
    <row r="18" spans="1:15">
      <c r="A18" s="4">
        <v>45760</v>
      </c>
      <c r="B18" t="s">
        <v>85</v>
      </c>
      <c r="C18" t="s">
        <v>68</v>
      </c>
      <c r="D18">
        <v>2540</v>
      </c>
      <c r="E18" t="s">
        <v>74</v>
      </c>
      <c r="F18" t="s">
        <v>105</v>
      </c>
      <c r="G18" t="s">
        <v>46</v>
      </c>
      <c r="H18" t="s">
        <v>70</v>
      </c>
      <c r="I18" t="s">
        <v>84</v>
      </c>
      <c r="J18" t="s">
        <v>65</v>
      </c>
      <c r="K18" t="s">
        <v>66</v>
      </c>
      <c r="L18">
        <v>1</v>
      </c>
      <c r="M18">
        <v>45</v>
      </c>
      <c r="N18" t="s">
        <v>93</v>
      </c>
      <c r="O18">
        <v>14</v>
      </c>
    </row>
    <row r="19" spans="1:15">
      <c r="A19" s="4">
        <v>45791</v>
      </c>
      <c r="B19" t="s">
        <v>85</v>
      </c>
      <c r="C19" t="s">
        <v>77</v>
      </c>
      <c r="D19">
        <v>250</v>
      </c>
      <c r="E19" t="s">
        <v>53</v>
      </c>
      <c r="F19" t="s">
        <v>106</v>
      </c>
      <c r="G19" t="s">
        <v>46</v>
      </c>
      <c r="H19" t="s">
        <v>70</v>
      </c>
      <c r="I19" t="s">
        <v>88</v>
      </c>
      <c r="J19" t="s">
        <v>57</v>
      </c>
      <c r="K19" t="s">
        <v>58</v>
      </c>
      <c r="L19">
        <v>3</v>
      </c>
      <c r="M19">
        <v>90</v>
      </c>
      <c r="N19" t="s">
        <v>93</v>
      </c>
      <c r="O19">
        <v>8</v>
      </c>
    </row>
    <row r="20" spans="1:15">
      <c r="A20" s="4">
        <v>45680</v>
      </c>
      <c r="B20" t="s">
        <v>72</v>
      </c>
      <c r="C20" t="s">
        <v>86</v>
      </c>
      <c r="D20">
        <v>510</v>
      </c>
      <c r="E20" t="s">
        <v>62</v>
      </c>
      <c r="F20" t="s">
        <v>107</v>
      </c>
      <c r="G20" t="s">
        <v>45</v>
      </c>
      <c r="H20" t="s">
        <v>55</v>
      </c>
      <c r="I20" t="s">
        <v>84</v>
      </c>
      <c r="J20" t="s">
        <v>57</v>
      </c>
      <c r="K20" t="s">
        <v>76</v>
      </c>
      <c r="L20">
        <v>2</v>
      </c>
      <c r="M20">
        <v>90</v>
      </c>
      <c r="N20" t="s">
        <v>59</v>
      </c>
      <c r="O20">
        <v>14</v>
      </c>
    </row>
    <row r="21" spans="1:15">
      <c r="A21" s="4">
        <v>45885</v>
      </c>
      <c r="B21" t="s">
        <v>97</v>
      </c>
      <c r="C21" t="s">
        <v>81</v>
      </c>
      <c r="D21">
        <v>2600</v>
      </c>
      <c r="E21" t="s">
        <v>53</v>
      </c>
      <c r="F21" t="s">
        <v>108</v>
      </c>
      <c r="G21" t="s">
        <v>46</v>
      </c>
      <c r="H21" t="s">
        <v>70</v>
      </c>
      <c r="I21" t="s">
        <v>84</v>
      </c>
      <c r="J21" t="s">
        <v>57</v>
      </c>
      <c r="K21" t="s">
        <v>66</v>
      </c>
      <c r="L21">
        <v>4</v>
      </c>
      <c r="M21">
        <v>30</v>
      </c>
      <c r="N21" t="s">
        <v>93</v>
      </c>
      <c r="O21">
        <v>16</v>
      </c>
    </row>
    <row r="22" spans="1:15">
      <c r="A22" s="4">
        <v>45667</v>
      </c>
      <c r="B22" t="s">
        <v>109</v>
      </c>
      <c r="C22" t="s">
        <v>77</v>
      </c>
      <c r="D22">
        <v>4240</v>
      </c>
      <c r="E22" t="s">
        <v>53</v>
      </c>
      <c r="F22" t="s">
        <v>110</v>
      </c>
      <c r="G22" t="s">
        <v>45</v>
      </c>
      <c r="H22" t="s">
        <v>70</v>
      </c>
      <c r="I22" t="s">
        <v>56</v>
      </c>
      <c r="J22" t="s">
        <v>57</v>
      </c>
      <c r="K22" t="s">
        <v>58</v>
      </c>
      <c r="L22">
        <v>2</v>
      </c>
      <c r="M22">
        <v>60</v>
      </c>
      <c r="N22" t="s">
        <v>93</v>
      </c>
      <c r="O22">
        <v>4</v>
      </c>
    </row>
    <row r="23" spans="1:15">
      <c r="A23" s="4">
        <v>45742</v>
      </c>
      <c r="B23" t="s">
        <v>60</v>
      </c>
      <c r="C23" t="s">
        <v>77</v>
      </c>
      <c r="D23">
        <v>4560</v>
      </c>
      <c r="E23" t="s">
        <v>74</v>
      </c>
      <c r="F23" t="s">
        <v>111</v>
      </c>
      <c r="G23" t="s">
        <v>45</v>
      </c>
      <c r="H23" t="s">
        <v>55</v>
      </c>
      <c r="I23" t="s">
        <v>88</v>
      </c>
      <c r="J23" t="s">
        <v>65</v>
      </c>
      <c r="K23" t="s">
        <v>66</v>
      </c>
      <c r="L23">
        <v>1</v>
      </c>
      <c r="M23">
        <v>90</v>
      </c>
      <c r="N23" t="s">
        <v>71</v>
      </c>
      <c r="O23">
        <v>13</v>
      </c>
    </row>
    <row r="24" spans="1:15">
      <c r="A24" s="4">
        <v>45666</v>
      </c>
      <c r="B24" t="s">
        <v>90</v>
      </c>
      <c r="C24" t="s">
        <v>95</v>
      </c>
      <c r="D24">
        <v>370</v>
      </c>
      <c r="E24" t="s">
        <v>53</v>
      </c>
      <c r="F24" t="s">
        <v>112</v>
      </c>
      <c r="G24" t="s">
        <v>45</v>
      </c>
      <c r="H24" t="s">
        <v>70</v>
      </c>
      <c r="I24" t="s">
        <v>79</v>
      </c>
      <c r="J24" t="s">
        <v>57</v>
      </c>
      <c r="K24" t="s">
        <v>58</v>
      </c>
      <c r="L24">
        <v>5</v>
      </c>
      <c r="M24">
        <v>90</v>
      </c>
      <c r="N24" t="s">
        <v>71</v>
      </c>
      <c r="O24">
        <v>3</v>
      </c>
    </row>
    <row r="25" spans="1:15">
      <c r="A25" s="4">
        <v>45659</v>
      </c>
      <c r="B25" t="s">
        <v>80</v>
      </c>
      <c r="C25" t="s">
        <v>73</v>
      </c>
      <c r="D25">
        <v>3410</v>
      </c>
      <c r="E25" t="s">
        <v>53</v>
      </c>
      <c r="F25" t="s">
        <v>113</v>
      </c>
      <c r="G25" t="s">
        <v>46</v>
      </c>
      <c r="H25" t="s">
        <v>55</v>
      </c>
      <c r="I25" t="s">
        <v>84</v>
      </c>
      <c r="J25" t="s">
        <v>57</v>
      </c>
      <c r="K25" t="s">
        <v>66</v>
      </c>
      <c r="L25">
        <v>4</v>
      </c>
      <c r="M25">
        <v>90</v>
      </c>
      <c r="N25" t="s">
        <v>71</v>
      </c>
      <c r="O25">
        <v>15</v>
      </c>
    </row>
    <row r="26" spans="1:15">
      <c r="A26" s="4">
        <v>45851</v>
      </c>
      <c r="B26" t="s">
        <v>60</v>
      </c>
      <c r="C26" t="s">
        <v>114</v>
      </c>
      <c r="D26">
        <v>4060</v>
      </c>
      <c r="E26" t="s">
        <v>53</v>
      </c>
      <c r="F26" t="s">
        <v>115</v>
      </c>
      <c r="G26" t="s">
        <v>45</v>
      </c>
      <c r="H26" t="s">
        <v>55</v>
      </c>
      <c r="I26" t="s">
        <v>79</v>
      </c>
      <c r="J26" t="s">
        <v>65</v>
      </c>
      <c r="K26" t="s">
        <v>66</v>
      </c>
      <c r="L26">
        <v>2</v>
      </c>
      <c r="M26">
        <v>90</v>
      </c>
      <c r="N26" t="s">
        <v>59</v>
      </c>
      <c r="O26">
        <v>12</v>
      </c>
    </row>
    <row r="27" spans="1:15">
      <c r="A27" s="4">
        <v>45960</v>
      </c>
      <c r="B27" t="s">
        <v>116</v>
      </c>
      <c r="C27" t="s">
        <v>77</v>
      </c>
      <c r="D27">
        <v>4350</v>
      </c>
      <c r="E27" t="s">
        <v>74</v>
      </c>
      <c r="F27" t="s">
        <v>117</v>
      </c>
      <c r="G27" t="s">
        <v>46</v>
      </c>
      <c r="H27" t="s">
        <v>55</v>
      </c>
      <c r="I27" t="s">
        <v>56</v>
      </c>
      <c r="J27" t="s">
        <v>65</v>
      </c>
      <c r="K27" t="s">
        <v>58</v>
      </c>
      <c r="L27">
        <v>1</v>
      </c>
      <c r="M27">
        <v>30</v>
      </c>
      <c r="N27" t="s">
        <v>59</v>
      </c>
      <c r="O27">
        <v>5</v>
      </c>
    </row>
    <row r="28" spans="1:15">
      <c r="A28" s="4">
        <v>45913</v>
      </c>
      <c r="B28" t="s">
        <v>97</v>
      </c>
      <c r="C28" t="s">
        <v>73</v>
      </c>
      <c r="D28">
        <v>2290</v>
      </c>
      <c r="E28" t="s">
        <v>62</v>
      </c>
      <c r="F28" t="s">
        <v>118</v>
      </c>
      <c r="G28" t="s">
        <v>45</v>
      </c>
      <c r="H28" t="s">
        <v>55</v>
      </c>
      <c r="I28" t="s">
        <v>64</v>
      </c>
      <c r="J28" t="s">
        <v>57</v>
      </c>
      <c r="K28" t="s">
        <v>76</v>
      </c>
      <c r="L28">
        <v>4</v>
      </c>
      <c r="M28">
        <v>90</v>
      </c>
      <c r="N28" t="s">
        <v>59</v>
      </c>
      <c r="O28">
        <v>10</v>
      </c>
    </row>
    <row r="29" spans="1:15">
      <c r="A29" s="4">
        <v>45795</v>
      </c>
      <c r="B29" t="s">
        <v>67</v>
      </c>
      <c r="C29" t="s">
        <v>77</v>
      </c>
      <c r="D29">
        <v>3550</v>
      </c>
      <c r="E29" t="s">
        <v>74</v>
      </c>
      <c r="F29" t="s">
        <v>119</v>
      </c>
      <c r="G29" t="s">
        <v>46</v>
      </c>
      <c r="H29" t="s">
        <v>55</v>
      </c>
      <c r="I29" t="s">
        <v>84</v>
      </c>
      <c r="J29" t="s">
        <v>65</v>
      </c>
      <c r="K29" t="s">
        <v>58</v>
      </c>
      <c r="L29">
        <v>4</v>
      </c>
      <c r="M29">
        <v>90</v>
      </c>
      <c r="N29" t="s">
        <v>71</v>
      </c>
      <c r="O29">
        <v>11</v>
      </c>
    </row>
    <row r="30" spans="1:15">
      <c r="A30" s="4">
        <v>45676</v>
      </c>
      <c r="B30" t="s">
        <v>60</v>
      </c>
      <c r="C30" t="s">
        <v>68</v>
      </c>
      <c r="D30">
        <v>1320</v>
      </c>
      <c r="E30" t="s">
        <v>53</v>
      </c>
      <c r="F30" t="s">
        <v>120</v>
      </c>
      <c r="G30" t="s">
        <v>46</v>
      </c>
      <c r="H30" t="s">
        <v>70</v>
      </c>
      <c r="I30" t="s">
        <v>92</v>
      </c>
      <c r="J30" t="s">
        <v>57</v>
      </c>
      <c r="K30" t="s">
        <v>66</v>
      </c>
      <c r="L30">
        <v>3</v>
      </c>
      <c r="M30">
        <v>45</v>
      </c>
      <c r="N30" t="s">
        <v>93</v>
      </c>
      <c r="O30">
        <v>10</v>
      </c>
    </row>
    <row r="31" spans="1:15">
      <c r="A31" s="4">
        <v>45750</v>
      </c>
      <c r="B31" t="s">
        <v>85</v>
      </c>
      <c r="C31" t="s">
        <v>77</v>
      </c>
      <c r="D31">
        <v>750</v>
      </c>
      <c r="E31" t="s">
        <v>74</v>
      </c>
      <c r="F31" t="s">
        <v>121</v>
      </c>
      <c r="G31" t="s">
        <v>45</v>
      </c>
      <c r="H31" t="s">
        <v>55</v>
      </c>
      <c r="I31" t="s">
        <v>64</v>
      </c>
      <c r="J31" t="s">
        <v>65</v>
      </c>
      <c r="K31" t="s">
        <v>66</v>
      </c>
      <c r="L31">
        <v>2</v>
      </c>
      <c r="M31">
        <v>45</v>
      </c>
      <c r="N31" t="s">
        <v>93</v>
      </c>
      <c r="O31">
        <v>9</v>
      </c>
    </row>
    <row r="32" spans="1:15">
      <c r="A32" s="4">
        <v>45784</v>
      </c>
      <c r="B32" t="s">
        <v>72</v>
      </c>
      <c r="C32" t="s">
        <v>61</v>
      </c>
      <c r="D32">
        <v>3210</v>
      </c>
      <c r="E32" t="s">
        <v>53</v>
      </c>
      <c r="F32" t="s">
        <v>122</v>
      </c>
      <c r="G32" t="s">
        <v>45</v>
      </c>
      <c r="H32" t="s">
        <v>55</v>
      </c>
      <c r="I32" t="s">
        <v>84</v>
      </c>
      <c r="J32" t="s">
        <v>57</v>
      </c>
      <c r="K32" t="s">
        <v>76</v>
      </c>
      <c r="L32">
        <v>3</v>
      </c>
      <c r="M32">
        <v>90</v>
      </c>
      <c r="N32" t="s">
        <v>71</v>
      </c>
      <c r="O32">
        <v>19</v>
      </c>
    </row>
    <row r="33" spans="1:15">
      <c r="A33" s="4">
        <v>45798</v>
      </c>
      <c r="B33" t="s">
        <v>67</v>
      </c>
      <c r="C33" t="s">
        <v>73</v>
      </c>
      <c r="D33">
        <v>2770</v>
      </c>
      <c r="E33" t="s">
        <v>53</v>
      </c>
      <c r="F33" t="s">
        <v>123</v>
      </c>
      <c r="G33" t="s">
        <v>45</v>
      </c>
      <c r="H33" t="s">
        <v>70</v>
      </c>
      <c r="I33" t="s">
        <v>79</v>
      </c>
      <c r="J33" t="s">
        <v>65</v>
      </c>
      <c r="K33" t="s">
        <v>76</v>
      </c>
      <c r="L33">
        <v>5</v>
      </c>
      <c r="M33">
        <v>30</v>
      </c>
      <c r="N33" t="s">
        <v>93</v>
      </c>
      <c r="O33">
        <v>9</v>
      </c>
    </row>
    <row r="34" spans="1:15">
      <c r="A34" s="4">
        <v>45807</v>
      </c>
      <c r="B34" t="s">
        <v>109</v>
      </c>
      <c r="C34" t="s">
        <v>77</v>
      </c>
      <c r="D34">
        <v>2960</v>
      </c>
      <c r="E34" t="s">
        <v>74</v>
      </c>
      <c r="F34" t="s">
        <v>124</v>
      </c>
      <c r="G34" t="s">
        <v>46</v>
      </c>
      <c r="H34" t="s">
        <v>70</v>
      </c>
      <c r="I34" t="s">
        <v>56</v>
      </c>
      <c r="J34" t="s">
        <v>57</v>
      </c>
      <c r="K34" t="s">
        <v>58</v>
      </c>
      <c r="L34">
        <v>2</v>
      </c>
      <c r="M34">
        <v>90</v>
      </c>
      <c r="N34" t="s">
        <v>59</v>
      </c>
      <c r="O34">
        <v>20</v>
      </c>
    </row>
    <row r="35" spans="1:15">
      <c r="A35" s="4">
        <v>45909</v>
      </c>
      <c r="B35" t="s">
        <v>60</v>
      </c>
      <c r="C35" t="s">
        <v>68</v>
      </c>
      <c r="D35">
        <v>1200</v>
      </c>
      <c r="E35" t="s">
        <v>53</v>
      </c>
      <c r="F35" t="s">
        <v>125</v>
      </c>
      <c r="G35" t="s">
        <v>46</v>
      </c>
      <c r="H35" t="s">
        <v>55</v>
      </c>
      <c r="I35" t="s">
        <v>79</v>
      </c>
      <c r="J35" t="s">
        <v>57</v>
      </c>
      <c r="K35" t="s">
        <v>58</v>
      </c>
      <c r="L35">
        <v>1</v>
      </c>
      <c r="M35">
        <v>60</v>
      </c>
      <c r="N35" t="s">
        <v>93</v>
      </c>
      <c r="O35">
        <v>20</v>
      </c>
    </row>
    <row r="36" spans="1:15">
      <c r="A36" s="4">
        <v>45745</v>
      </c>
      <c r="B36" t="s">
        <v>109</v>
      </c>
      <c r="C36" t="s">
        <v>95</v>
      </c>
      <c r="D36">
        <v>760</v>
      </c>
      <c r="E36" t="s">
        <v>62</v>
      </c>
      <c r="F36" t="s">
        <v>126</v>
      </c>
      <c r="G36" t="s">
        <v>45</v>
      </c>
      <c r="H36" t="s">
        <v>70</v>
      </c>
      <c r="I36" t="s">
        <v>92</v>
      </c>
      <c r="J36" t="s">
        <v>65</v>
      </c>
      <c r="K36" t="s">
        <v>66</v>
      </c>
      <c r="L36">
        <v>3</v>
      </c>
      <c r="M36">
        <v>30</v>
      </c>
      <c r="N36" t="s">
        <v>59</v>
      </c>
      <c r="O36">
        <v>9</v>
      </c>
    </row>
    <row r="37" spans="1:15">
      <c r="A37" s="4">
        <v>45974</v>
      </c>
      <c r="B37" t="s">
        <v>67</v>
      </c>
      <c r="C37" t="s">
        <v>77</v>
      </c>
      <c r="D37">
        <v>2150</v>
      </c>
      <c r="E37" t="s">
        <v>62</v>
      </c>
      <c r="F37" t="s">
        <v>127</v>
      </c>
      <c r="G37" t="s">
        <v>46</v>
      </c>
      <c r="H37" t="s">
        <v>55</v>
      </c>
      <c r="I37" t="s">
        <v>84</v>
      </c>
      <c r="J37" t="s">
        <v>57</v>
      </c>
      <c r="K37" t="s">
        <v>66</v>
      </c>
      <c r="L37">
        <v>3</v>
      </c>
      <c r="M37">
        <v>30</v>
      </c>
      <c r="N37" t="s">
        <v>71</v>
      </c>
      <c r="O37">
        <v>3</v>
      </c>
    </row>
    <row r="38" spans="1:15">
      <c r="A38" s="4">
        <v>45691</v>
      </c>
      <c r="B38" t="s">
        <v>94</v>
      </c>
      <c r="C38" t="s">
        <v>98</v>
      </c>
      <c r="D38">
        <v>3450</v>
      </c>
      <c r="E38" t="s">
        <v>62</v>
      </c>
      <c r="F38" t="s">
        <v>128</v>
      </c>
      <c r="G38" t="s">
        <v>45</v>
      </c>
      <c r="H38" t="s">
        <v>55</v>
      </c>
      <c r="I38" t="s">
        <v>79</v>
      </c>
      <c r="J38" t="s">
        <v>65</v>
      </c>
      <c r="K38" t="s">
        <v>66</v>
      </c>
      <c r="L38">
        <v>1</v>
      </c>
      <c r="M38">
        <v>60</v>
      </c>
      <c r="N38" t="s">
        <v>59</v>
      </c>
      <c r="O38">
        <v>6</v>
      </c>
    </row>
    <row r="39" spans="1:15">
      <c r="A39" s="4">
        <v>45832</v>
      </c>
      <c r="B39" t="s">
        <v>72</v>
      </c>
      <c r="C39" t="s">
        <v>73</v>
      </c>
      <c r="D39">
        <v>2640</v>
      </c>
      <c r="E39" t="s">
        <v>62</v>
      </c>
      <c r="F39" t="s">
        <v>129</v>
      </c>
      <c r="G39" t="s">
        <v>45</v>
      </c>
      <c r="H39" t="s">
        <v>55</v>
      </c>
      <c r="I39" t="s">
        <v>64</v>
      </c>
      <c r="J39" t="s">
        <v>57</v>
      </c>
      <c r="K39" t="s">
        <v>76</v>
      </c>
      <c r="L39">
        <v>3</v>
      </c>
      <c r="M39">
        <v>90</v>
      </c>
      <c r="N39" t="s">
        <v>93</v>
      </c>
      <c r="O39">
        <v>16</v>
      </c>
    </row>
    <row r="40" spans="1:15">
      <c r="A40" s="4">
        <v>45801</v>
      </c>
      <c r="B40" t="s">
        <v>60</v>
      </c>
      <c r="C40" t="s">
        <v>77</v>
      </c>
      <c r="D40">
        <v>1110</v>
      </c>
      <c r="E40" t="s">
        <v>53</v>
      </c>
      <c r="F40" t="s">
        <v>130</v>
      </c>
      <c r="G40" t="s">
        <v>45</v>
      </c>
      <c r="H40" t="s">
        <v>55</v>
      </c>
      <c r="I40" t="s">
        <v>64</v>
      </c>
      <c r="J40" t="s">
        <v>57</v>
      </c>
      <c r="K40" t="s">
        <v>66</v>
      </c>
      <c r="L40">
        <v>1</v>
      </c>
      <c r="M40">
        <v>90</v>
      </c>
      <c r="N40" t="s">
        <v>93</v>
      </c>
      <c r="O40">
        <v>14</v>
      </c>
    </row>
    <row r="41" spans="1:15">
      <c r="A41" s="4">
        <v>45837</v>
      </c>
      <c r="B41" t="s">
        <v>109</v>
      </c>
      <c r="C41" t="s">
        <v>95</v>
      </c>
      <c r="D41">
        <v>3450</v>
      </c>
      <c r="E41" t="s">
        <v>62</v>
      </c>
      <c r="F41" t="s">
        <v>131</v>
      </c>
      <c r="G41" t="s">
        <v>46</v>
      </c>
      <c r="H41" t="s">
        <v>70</v>
      </c>
      <c r="I41" t="s">
        <v>92</v>
      </c>
      <c r="J41" t="s">
        <v>65</v>
      </c>
      <c r="K41" t="s">
        <v>66</v>
      </c>
      <c r="L41">
        <v>1</v>
      </c>
      <c r="M41">
        <v>45</v>
      </c>
      <c r="N41" t="s">
        <v>71</v>
      </c>
      <c r="O41">
        <v>5</v>
      </c>
    </row>
    <row r="42" spans="1:15">
      <c r="A42" s="4">
        <v>45688</v>
      </c>
      <c r="B42" t="s">
        <v>67</v>
      </c>
      <c r="C42" t="s">
        <v>73</v>
      </c>
      <c r="D42">
        <v>360</v>
      </c>
      <c r="E42" t="s">
        <v>53</v>
      </c>
      <c r="F42" t="s">
        <v>132</v>
      </c>
      <c r="G42" t="s">
        <v>46</v>
      </c>
      <c r="H42" t="s">
        <v>55</v>
      </c>
      <c r="I42" t="s">
        <v>56</v>
      </c>
      <c r="J42" t="s">
        <v>65</v>
      </c>
      <c r="K42" t="s">
        <v>76</v>
      </c>
      <c r="L42">
        <v>4</v>
      </c>
      <c r="M42">
        <v>45</v>
      </c>
      <c r="N42" t="s">
        <v>59</v>
      </c>
      <c r="O42">
        <v>3</v>
      </c>
    </row>
    <row r="43" spans="1:15">
      <c r="A43" s="4">
        <v>45931</v>
      </c>
      <c r="B43" t="s">
        <v>116</v>
      </c>
      <c r="C43" t="s">
        <v>68</v>
      </c>
      <c r="D43">
        <v>660</v>
      </c>
      <c r="E43" t="s">
        <v>74</v>
      </c>
      <c r="F43" t="s">
        <v>133</v>
      </c>
      <c r="G43" t="s">
        <v>45</v>
      </c>
      <c r="H43" t="s">
        <v>55</v>
      </c>
      <c r="I43" t="s">
        <v>88</v>
      </c>
      <c r="J43" t="s">
        <v>57</v>
      </c>
      <c r="K43" t="s">
        <v>58</v>
      </c>
      <c r="L43">
        <v>3</v>
      </c>
      <c r="M43">
        <v>45</v>
      </c>
      <c r="N43" t="s">
        <v>93</v>
      </c>
      <c r="O43">
        <v>7</v>
      </c>
    </row>
    <row r="44" spans="1:15">
      <c r="A44" s="4">
        <v>45815</v>
      </c>
      <c r="B44" t="s">
        <v>101</v>
      </c>
      <c r="C44" t="s">
        <v>95</v>
      </c>
      <c r="D44">
        <v>3590</v>
      </c>
      <c r="E44" t="s">
        <v>53</v>
      </c>
      <c r="F44" t="s">
        <v>134</v>
      </c>
      <c r="G44" t="s">
        <v>46</v>
      </c>
      <c r="H44" t="s">
        <v>70</v>
      </c>
      <c r="I44" t="s">
        <v>84</v>
      </c>
      <c r="J44" t="s">
        <v>57</v>
      </c>
      <c r="K44" t="s">
        <v>58</v>
      </c>
      <c r="L44">
        <v>3</v>
      </c>
      <c r="M44">
        <v>60</v>
      </c>
      <c r="N44" t="s">
        <v>71</v>
      </c>
      <c r="O44">
        <v>6</v>
      </c>
    </row>
    <row r="45" spans="1:15">
      <c r="A45" s="4">
        <v>45917</v>
      </c>
      <c r="B45" t="s">
        <v>109</v>
      </c>
      <c r="C45" t="s">
        <v>86</v>
      </c>
      <c r="D45">
        <v>3060</v>
      </c>
      <c r="E45" t="s">
        <v>53</v>
      </c>
      <c r="F45" t="s">
        <v>135</v>
      </c>
      <c r="G45" t="s">
        <v>45</v>
      </c>
      <c r="H45" t="s">
        <v>55</v>
      </c>
      <c r="I45" t="s">
        <v>92</v>
      </c>
      <c r="J45" t="s">
        <v>65</v>
      </c>
      <c r="K45" t="s">
        <v>58</v>
      </c>
      <c r="L45">
        <v>1</v>
      </c>
      <c r="M45">
        <v>90</v>
      </c>
      <c r="N45" t="s">
        <v>71</v>
      </c>
      <c r="O45">
        <v>6</v>
      </c>
    </row>
    <row r="46" spans="1:15">
      <c r="A46" s="4">
        <v>45709</v>
      </c>
      <c r="B46" t="s">
        <v>116</v>
      </c>
      <c r="C46" t="s">
        <v>86</v>
      </c>
      <c r="D46">
        <v>3940</v>
      </c>
      <c r="E46" t="s">
        <v>53</v>
      </c>
      <c r="F46" t="s">
        <v>136</v>
      </c>
      <c r="G46" t="s">
        <v>45</v>
      </c>
      <c r="H46" t="s">
        <v>70</v>
      </c>
      <c r="I46" t="s">
        <v>56</v>
      </c>
      <c r="J46" t="s">
        <v>65</v>
      </c>
      <c r="K46" t="s">
        <v>76</v>
      </c>
      <c r="L46">
        <v>5</v>
      </c>
      <c r="M46">
        <v>90</v>
      </c>
      <c r="N46" t="s">
        <v>93</v>
      </c>
      <c r="O46">
        <v>18</v>
      </c>
    </row>
    <row r="47" spans="1:15">
      <c r="A47" s="4">
        <v>45877</v>
      </c>
      <c r="B47" t="s">
        <v>80</v>
      </c>
      <c r="C47" t="s">
        <v>52</v>
      </c>
      <c r="D47">
        <v>1760</v>
      </c>
      <c r="E47" t="s">
        <v>62</v>
      </c>
      <c r="F47" t="s">
        <v>137</v>
      </c>
      <c r="G47" t="s">
        <v>46</v>
      </c>
      <c r="H47" t="s">
        <v>70</v>
      </c>
      <c r="I47" t="s">
        <v>88</v>
      </c>
      <c r="J47" t="s">
        <v>65</v>
      </c>
      <c r="K47" t="s">
        <v>76</v>
      </c>
      <c r="L47">
        <v>3</v>
      </c>
      <c r="M47">
        <v>60</v>
      </c>
      <c r="N47" t="s">
        <v>71</v>
      </c>
      <c r="O47">
        <v>11</v>
      </c>
    </row>
    <row r="48" spans="1:15">
      <c r="A48" s="4">
        <v>45758</v>
      </c>
      <c r="B48" t="s">
        <v>85</v>
      </c>
      <c r="C48" t="s">
        <v>86</v>
      </c>
      <c r="D48">
        <v>470</v>
      </c>
      <c r="E48" t="s">
        <v>62</v>
      </c>
      <c r="F48" t="s">
        <v>138</v>
      </c>
      <c r="G48" t="s">
        <v>46</v>
      </c>
      <c r="H48" t="s">
        <v>55</v>
      </c>
      <c r="I48" t="s">
        <v>56</v>
      </c>
      <c r="J48" t="s">
        <v>65</v>
      </c>
      <c r="K48" t="s">
        <v>66</v>
      </c>
      <c r="L48">
        <v>1</v>
      </c>
      <c r="M48">
        <v>30</v>
      </c>
      <c r="N48" t="s">
        <v>59</v>
      </c>
      <c r="O48">
        <v>10</v>
      </c>
    </row>
    <row r="49" spans="1:15">
      <c r="A49" s="4">
        <v>45973</v>
      </c>
      <c r="B49" t="s">
        <v>116</v>
      </c>
      <c r="C49" t="s">
        <v>95</v>
      </c>
      <c r="D49">
        <v>480</v>
      </c>
      <c r="E49" t="s">
        <v>53</v>
      </c>
      <c r="F49" t="s">
        <v>139</v>
      </c>
      <c r="G49" t="s">
        <v>46</v>
      </c>
      <c r="H49" t="s">
        <v>70</v>
      </c>
      <c r="I49" t="s">
        <v>56</v>
      </c>
      <c r="J49" t="s">
        <v>65</v>
      </c>
      <c r="K49" t="s">
        <v>76</v>
      </c>
      <c r="L49">
        <v>3</v>
      </c>
      <c r="M49">
        <v>30</v>
      </c>
      <c r="N49" t="s">
        <v>59</v>
      </c>
      <c r="O49">
        <v>17</v>
      </c>
    </row>
    <row r="50" spans="1:15">
      <c r="A50" s="4">
        <v>45851</v>
      </c>
      <c r="B50" t="s">
        <v>51</v>
      </c>
      <c r="C50" t="s">
        <v>68</v>
      </c>
      <c r="D50">
        <v>560</v>
      </c>
      <c r="E50" t="s">
        <v>74</v>
      </c>
      <c r="F50" t="s">
        <v>140</v>
      </c>
      <c r="G50" t="s">
        <v>46</v>
      </c>
      <c r="H50" t="s">
        <v>55</v>
      </c>
      <c r="I50" t="s">
        <v>64</v>
      </c>
      <c r="J50" t="s">
        <v>57</v>
      </c>
      <c r="K50" t="s">
        <v>76</v>
      </c>
      <c r="L50">
        <v>1</v>
      </c>
      <c r="M50">
        <v>60</v>
      </c>
      <c r="N50" t="s">
        <v>93</v>
      </c>
      <c r="O50">
        <v>3</v>
      </c>
    </row>
    <row r="51" spans="1:15">
      <c r="A51" s="4">
        <v>45783</v>
      </c>
      <c r="B51" t="s">
        <v>101</v>
      </c>
      <c r="C51" t="s">
        <v>52</v>
      </c>
      <c r="D51">
        <v>1180</v>
      </c>
      <c r="E51" t="s">
        <v>62</v>
      </c>
      <c r="F51" t="s">
        <v>141</v>
      </c>
      <c r="G51" t="s">
        <v>45</v>
      </c>
      <c r="H51" t="s">
        <v>70</v>
      </c>
      <c r="I51" t="s">
        <v>84</v>
      </c>
      <c r="J51" t="s">
        <v>65</v>
      </c>
      <c r="K51" t="s">
        <v>76</v>
      </c>
      <c r="L51">
        <v>2</v>
      </c>
      <c r="M51">
        <v>90</v>
      </c>
      <c r="N51" t="s">
        <v>93</v>
      </c>
      <c r="O51">
        <v>16</v>
      </c>
    </row>
    <row r="52" spans="1:15">
      <c r="A52" s="4">
        <v>45748</v>
      </c>
      <c r="B52" t="s">
        <v>97</v>
      </c>
      <c r="C52" t="s">
        <v>61</v>
      </c>
      <c r="D52">
        <v>1030</v>
      </c>
      <c r="E52" t="s">
        <v>74</v>
      </c>
      <c r="F52" t="s">
        <v>142</v>
      </c>
      <c r="G52" t="s">
        <v>46</v>
      </c>
      <c r="H52" t="s">
        <v>55</v>
      </c>
      <c r="I52" t="s">
        <v>56</v>
      </c>
      <c r="J52" t="s">
        <v>65</v>
      </c>
      <c r="K52" t="s">
        <v>66</v>
      </c>
      <c r="L52">
        <v>1</v>
      </c>
      <c r="M52">
        <v>45</v>
      </c>
      <c r="N52" t="s">
        <v>71</v>
      </c>
      <c r="O52">
        <v>10</v>
      </c>
    </row>
    <row r="53" spans="1:15">
      <c r="A53" s="4">
        <v>45773</v>
      </c>
      <c r="B53" t="s">
        <v>51</v>
      </c>
      <c r="C53" t="s">
        <v>114</v>
      </c>
      <c r="D53">
        <v>530</v>
      </c>
      <c r="E53" t="s">
        <v>74</v>
      </c>
      <c r="F53" t="s">
        <v>143</v>
      </c>
      <c r="G53" t="s">
        <v>46</v>
      </c>
      <c r="H53" t="s">
        <v>55</v>
      </c>
      <c r="I53" t="s">
        <v>84</v>
      </c>
      <c r="J53" t="s">
        <v>65</v>
      </c>
      <c r="K53" t="s">
        <v>66</v>
      </c>
      <c r="L53">
        <v>4</v>
      </c>
      <c r="M53">
        <v>30</v>
      </c>
      <c r="N53" t="s">
        <v>93</v>
      </c>
      <c r="O53">
        <v>5</v>
      </c>
    </row>
    <row r="54" spans="1:15">
      <c r="A54" s="4">
        <v>45702</v>
      </c>
      <c r="B54" t="s">
        <v>101</v>
      </c>
      <c r="C54" t="s">
        <v>68</v>
      </c>
      <c r="D54">
        <v>1350</v>
      </c>
      <c r="E54" t="s">
        <v>62</v>
      </c>
      <c r="F54" t="s">
        <v>144</v>
      </c>
      <c r="G54" t="s">
        <v>46</v>
      </c>
      <c r="H54" t="s">
        <v>70</v>
      </c>
      <c r="I54" t="s">
        <v>92</v>
      </c>
      <c r="J54" t="s">
        <v>65</v>
      </c>
      <c r="K54" t="s">
        <v>66</v>
      </c>
      <c r="L54">
        <v>1</v>
      </c>
      <c r="M54">
        <v>60</v>
      </c>
      <c r="N54" t="s">
        <v>93</v>
      </c>
      <c r="O54">
        <v>19</v>
      </c>
    </row>
    <row r="55" spans="1:15">
      <c r="A55" s="4">
        <v>45743</v>
      </c>
      <c r="B55" t="s">
        <v>116</v>
      </c>
      <c r="C55" t="s">
        <v>52</v>
      </c>
      <c r="D55">
        <v>1160</v>
      </c>
      <c r="E55" t="s">
        <v>74</v>
      </c>
      <c r="F55" t="s">
        <v>145</v>
      </c>
      <c r="G55" t="s">
        <v>46</v>
      </c>
      <c r="H55" t="s">
        <v>55</v>
      </c>
      <c r="I55" t="s">
        <v>88</v>
      </c>
      <c r="J55" t="s">
        <v>65</v>
      </c>
      <c r="K55" t="s">
        <v>58</v>
      </c>
      <c r="L55">
        <v>2</v>
      </c>
      <c r="M55">
        <v>30</v>
      </c>
      <c r="N55" t="s">
        <v>71</v>
      </c>
      <c r="O55">
        <v>11</v>
      </c>
    </row>
    <row r="56" spans="1:15">
      <c r="A56" s="4">
        <v>45848</v>
      </c>
      <c r="B56" t="s">
        <v>109</v>
      </c>
      <c r="C56" t="s">
        <v>73</v>
      </c>
      <c r="D56">
        <v>1160</v>
      </c>
      <c r="E56" t="s">
        <v>62</v>
      </c>
      <c r="F56" t="s">
        <v>146</v>
      </c>
      <c r="G56" t="s">
        <v>46</v>
      </c>
      <c r="H56" t="s">
        <v>70</v>
      </c>
      <c r="I56" t="s">
        <v>84</v>
      </c>
      <c r="J56" t="s">
        <v>57</v>
      </c>
      <c r="K56" t="s">
        <v>76</v>
      </c>
      <c r="L56">
        <v>1</v>
      </c>
      <c r="M56">
        <v>60</v>
      </c>
      <c r="N56" t="s">
        <v>93</v>
      </c>
      <c r="O56">
        <v>14</v>
      </c>
    </row>
    <row r="57" spans="1:15">
      <c r="A57" s="4">
        <v>45704</v>
      </c>
      <c r="B57" t="s">
        <v>80</v>
      </c>
      <c r="C57" t="s">
        <v>86</v>
      </c>
      <c r="D57">
        <v>430</v>
      </c>
      <c r="E57" t="s">
        <v>62</v>
      </c>
      <c r="F57" t="s">
        <v>147</v>
      </c>
      <c r="G57" t="s">
        <v>45</v>
      </c>
      <c r="H57" t="s">
        <v>55</v>
      </c>
      <c r="I57" t="s">
        <v>79</v>
      </c>
      <c r="J57" t="s">
        <v>65</v>
      </c>
      <c r="K57" t="s">
        <v>76</v>
      </c>
      <c r="L57">
        <v>4</v>
      </c>
      <c r="M57">
        <v>60</v>
      </c>
      <c r="N57" t="s">
        <v>59</v>
      </c>
      <c r="O57">
        <v>16</v>
      </c>
    </row>
    <row r="58" spans="1:15">
      <c r="A58" s="4">
        <v>46020</v>
      </c>
      <c r="B58" t="s">
        <v>60</v>
      </c>
      <c r="C58" t="s">
        <v>95</v>
      </c>
      <c r="D58">
        <v>2540</v>
      </c>
      <c r="E58" t="s">
        <v>53</v>
      </c>
      <c r="F58" t="s">
        <v>148</v>
      </c>
      <c r="G58" t="s">
        <v>45</v>
      </c>
      <c r="H58" t="s">
        <v>70</v>
      </c>
      <c r="I58" t="s">
        <v>84</v>
      </c>
      <c r="J58" t="s">
        <v>57</v>
      </c>
      <c r="K58" t="s">
        <v>58</v>
      </c>
      <c r="L58">
        <v>3</v>
      </c>
      <c r="M58">
        <v>30</v>
      </c>
      <c r="N58" t="s">
        <v>59</v>
      </c>
      <c r="O58">
        <v>11</v>
      </c>
    </row>
    <row r="59" spans="1:15">
      <c r="A59" s="4">
        <v>45958</v>
      </c>
      <c r="B59" t="s">
        <v>85</v>
      </c>
      <c r="C59" t="s">
        <v>95</v>
      </c>
      <c r="D59">
        <v>4930</v>
      </c>
      <c r="E59" t="s">
        <v>53</v>
      </c>
      <c r="F59" t="s">
        <v>149</v>
      </c>
      <c r="G59" t="s">
        <v>46</v>
      </c>
      <c r="H59" t="s">
        <v>55</v>
      </c>
      <c r="I59" t="s">
        <v>88</v>
      </c>
      <c r="J59" t="s">
        <v>57</v>
      </c>
      <c r="K59" t="s">
        <v>76</v>
      </c>
      <c r="L59">
        <v>3</v>
      </c>
      <c r="M59">
        <v>45</v>
      </c>
      <c r="N59" t="s">
        <v>93</v>
      </c>
      <c r="O59">
        <v>18</v>
      </c>
    </row>
    <row r="60" spans="1:15">
      <c r="A60" s="4">
        <v>45674</v>
      </c>
      <c r="B60" t="s">
        <v>109</v>
      </c>
      <c r="C60" t="s">
        <v>73</v>
      </c>
      <c r="D60">
        <v>4280</v>
      </c>
      <c r="E60" t="s">
        <v>53</v>
      </c>
      <c r="F60" t="s">
        <v>150</v>
      </c>
      <c r="G60" t="s">
        <v>46</v>
      </c>
      <c r="H60" t="s">
        <v>55</v>
      </c>
      <c r="I60" t="s">
        <v>88</v>
      </c>
      <c r="J60" t="s">
        <v>57</v>
      </c>
      <c r="K60" t="s">
        <v>58</v>
      </c>
      <c r="L60">
        <v>2</v>
      </c>
      <c r="M60">
        <v>90</v>
      </c>
      <c r="N60" t="s">
        <v>59</v>
      </c>
      <c r="O60">
        <v>6</v>
      </c>
    </row>
    <row r="61" spans="1:15">
      <c r="A61" s="4">
        <v>45697</v>
      </c>
      <c r="B61" t="s">
        <v>67</v>
      </c>
      <c r="C61" t="s">
        <v>52</v>
      </c>
      <c r="D61">
        <v>3670</v>
      </c>
      <c r="E61" t="s">
        <v>53</v>
      </c>
      <c r="F61" t="s">
        <v>151</v>
      </c>
      <c r="G61" t="s">
        <v>45</v>
      </c>
      <c r="H61" t="s">
        <v>70</v>
      </c>
      <c r="I61" t="s">
        <v>79</v>
      </c>
      <c r="J61" t="s">
        <v>65</v>
      </c>
      <c r="K61" t="s">
        <v>76</v>
      </c>
      <c r="L61">
        <v>4</v>
      </c>
      <c r="M61">
        <v>60</v>
      </c>
      <c r="N61" t="s">
        <v>59</v>
      </c>
      <c r="O61">
        <v>20</v>
      </c>
    </row>
    <row r="62" spans="1:15">
      <c r="A62" s="4">
        <v>45943</v>
      </c>
      <c r="B62" t="s">
        <v>72</v>
      </c>
      <c r="C62" t="s">
        <v>68</v>
      </c>
      <c r="D62">
        <v>3200</v>
      </c>
      <c r="E62" t="s">
        <v>62</v>
      </c>
      <c r="F62" t="s">
        <v>152</v>
      </c>
      <c r="G62" t="s">
        <v>45</v>
      </c>
      <c r="H62" t="s">
        <v>55</v>
      </c>
      <c r="I62" t="s">
        <v>84</v>
      </c>
      <c r="J62" t="s">
        <v>65</v>
      </c>
      <c r="K62" t="s">
        <v>58</v>
      </c>
      <c r="L62">
        <v>1</v>
      </c>
      <c r="M62">
        <v>45</v>
      </c>
      <c r="N62" t="s">
        <v>59</v>
      </c>
      <c r="O62">
        <v>12</v>
      </c>
    </row>
    <row r="63" spans="1:15">
      <c r="A63" s="4">
        <v>45717</v>
      </c>
      <c r="B63" t="s">
        <v>60</v>
      </c>
      <c r="C63" t="s">
        <v>114</v>
      </c>
      <c r="D63">
        <v>4840</v>
      </c>
      <c r="E63" t="s">
        <v>62</v>
      </c>
      <c r="F63" t="s">
        <v>153</v>
      </c>
      <c r="G63" t="s">
        <v>45</v>
      </c>
      <c r="H63" t="s">
        <v>70</v>
      </c>
      <c r="I63" t="s">
        <v>92</v>
      </c>
      <c r="J63" t="s">
        <v>65</v>
      </c>
      <c r="K63" t="s">
        <v>76</v>
      </c>
      <c r="L63">
        <v>2</v>
      </c>
      <c r="M63">
        <v>90</v>
      </c>
      <c r="N63" t="s">
        <v>59</v>
      </c>
      <c r="O63">
        <v>14</v>
      </c>
    </row>
    <row r="64" spans="1:15">
      <c r="A64" s="4">
        <v>45981</v>
      </c>
      <c r="B64" t="s">
        <v>80</v>
      </c>
      <c r="C64" t="s">
        <v>114</v>
      </c>
      <c r="D64">
        <v>2690</v>
      </c>
      <c r="E64" t="s">
        <v>74</v>
      </c>
      <c r="F64" t="s">
        <v>154</v>
      </c>
      <c r="G64" t="s">
        <v>46</v>
      </c>
      <c r="H64" t="s">
        <v>55</v>
      </c>
      <c r="I64" t="s">
        <v>56</v>
      </c>
      <c r="J64" t="s">
        <v>57</v>
      </c>
      <c r="K64" t="s">
        <v>58</v>
      </c>
      <c r="L64">
        <v>1</v>
      </c>
      <c r="M64">
        <v>60</v>
      </c>
      <c r="N64" t="s">
        <v>59</v>
      </c>
      <c r="O64">
        <v>6</v>
      </c>
    </row>
    <row r="65" spans="1:15">
      <c r="A65" s="4">
        <v>45806</v>
      </c>
      <c r="B65" t="s">
        <v>101</v>
      </c>
      <c r="C65" t="s">
        <v>73</v>
      </c>
      <c r="D65">
        <v>1110</v>
      </c>
      <c r="E65" t="s">
        <v>62</v>
      </c>
      <c r="F65" t="s">
        <v>155</v>
      </c>
      <c r="G65" t="s">
        <v>46</v>
      </c>
      <c r="H65" t="s">
        <v>55</v>
      </c>
      <c r="I65" t="s">
        <v>56</v>
      </c>
      <c r="J65" t="s">
        <v>57</v>
      </c>
      <c r="K65" t="s">
        <v>66</v>
      </c>
      <c r="L65">
        <v>5</v>
      </c>
      <c r="M65">
        <v>45</v>
      </c>
      <c r="N65" t="s">
        <v>71</v>
      </c>
      <c r="O65">
        <v>17</v>
      </c>
    </row>
    <row r="66" spans="1:15">
      <c r="A66" s="4">
        <v>45821</v>
      </c>
      <c r="B66" t="s">
        <v>101</v>
      </c>
      <c r="C66" t="s">
        <v>52</v>
      </c>
      <c r="D66">
        <v>2990</v>
      </c>
      <c r="E66" t="s">
        <v>74</v>
      </c>
      <c r="F66" t="s">
        <v>156</v>
      </c>
      <c r="G66" t="s">
        <v>46</v>
      </c>
      <c r="H66" t="s">
        <v>70</v>
      </c>
      <c r="I66" t="s">
        <v>64</v>
      </c>
      <c r="J66" t="s">
        <v>65</v>
      </c>
      <c r="K66" t="s">
        <v>58</v>
      </c>
      <c r="L66">
        <v>4</v>
      </c>
      <c r="M66">
        <v>60</v>
      </c>
      <c r="N66" t="s">
        <v>93</v>
      </c>
      <c r="O66">
        <v>19</v>
      </c>
    </row>
    <row r="67" spans="1:15">
      <c r="A67" s="4">
        <v>45946</v>
      </c>
      <c r="B67" t="s">
        <v>80</v>
      </c>
      <c r="C67" t="s">
        <v>95</v>
      </c>
      <c r="D67">
        <v>2220</v>
      </c>
      <c r="E67" t="s">
        <v>53</v>
      </c>
      <c r="F67" t="s">
        <v>157</v>
      </c>
      <c r="G67" t="s">
        <v>46</v>
      </c>
      <c r="H67" t="s">
        <v>70</v>
      </c>
      <c r="I67" t="s">
        <v>84</v>
      </c>
      <c r="J67" t="s">
        <v>65</v>
      </c>
      <c r="K67" t="s">
        <v>76</v>
      </c>
      <c r="L67">
        <v>3</v>
      </c>
      <c r="M67">
        <v>60</v>
      </c>
      <c r="N67" t="s">
        <v>59</v>
      </c>
      <c r="O67">
        <v>4</v>
      </c>
    </row>
    <row r="68" spans="1:15">
      <c r="A68" s="4">
        <v>45919</v>
      </c>
      <c r="B68" t="s">
        <v>80</v>
      </c>
      <c r="C68" t="s">
        <v>95</v>
      </c>
      <c r="D68">
        <v>830</v>
      </c>
      <c r="E68" t="s">
        <v>74</v>
      </c>
      <c r="F68" t="s">
        <v>158</v>
      </c>
      <c r="G68" t="s">
        <v>45</v>
      </c>
      <c r="H68" t="s">
        <v>55</v>
      </c>
      <c r="I68" t="s">
        <v>64</v>
      </c>
      <c r="J68" t="s">
        <v>57</v>
      </c>
      <c r="K68" t="s">
        <v>76</v>
      </c>
      <c r="L68">
        <v>1</v>
      </c>
      <c r="M68">
        <v>90</v>
      </c>
      <c r="N68" t="s">
        <v>71</v>
      </c>
      <c r="O68">
        <v>13</v>
      </c>
    </row>
    <row r="69" spans="1:15">
      <c r="A69" s="4">
        <v>45968</v>
      </c>
      <c r="B69" t="s">
        <v>60</v>
      </c>
      <c r="C69" t="s">
        <v>61</v>
      </c>
      <c r="D69">
        <v>3000</v>
      </c>
      <c r="E69" t="s">
        <v>62</v>
      </c>
      <c r="F69" t="s">
        <v>159</v>
      </c>
      <c r="G69" t="s">
        <v>46</v>
      </c>
      <c r="H69" t="s">
        <v>70</v>
      </c>
      <c r="I69" t="s">
        <v>64</v>
      </c>
      <c r="J69" t="s">
        <v>57</v>
      </c>
      <c r="K69" t="s">
        <v>66</v>
      </c>
      <c r="L69">
        <v>1</v>
      </c>
      <c r="M69">
        <v>45</v>
      </c>
      <c r="N69" t="s">
        <v>71</v>
      </c>
      <c r="O69">
        <v>3</v>
      </c>
    </row>
    <row r="70" spans="1:15">
      <c r="A70" s="4">
        <v>45718</v>
      </c>
      <c r="B70" t="s">
        <v>101</v>
      </c>
      <c r="C70" t="s">
        <v>114</v>
      </c>
      <c r="D70">
        <v>3710</v>
      </c>
      <c r="E70" t="s">
        <v>74</v>
      </c>
      <c r="F70" t="s">
        <v>160</v>
      </c>
      <c r="G70" t="s">
        <v>45</v>
      </c>
      <c r="H70" t="s">
        <v>70</v>
      </c>
      <c r="I70" t="s">
        <v>92</v>
      </c>
      <c r="J70" t="s">
        <v>65</v>
      </c>
      <c r="K70" t="s">
        <v>66</v>
      </c>
      <c r="L70">
        <v>3</v>
      </c>
      <c r="M70">
        <v>60</v>
      </c>
      <c r="N70" t="s">
        <v>59</v>
      </c>
      <c r="O70">
        <v>7</v>
      </c>
    </row>
    <row r="71" spans="1:15">
      <c r="A71" s="4">
        <v>45764</v>
      </c>
      <c r="B71" t="s">
        <v>80</v>
      </c>
      <c r="C71" t="s">
        <v>52</v>
      </c>
      <c r="D71">
        <v>4860</v>
      </c>
      <c r="E71" t="s">
        <v>74</v>
      </c>
      <c r="F71" t="s">
        <v>161</v>
      </c>
      <c r="G71" t="s">
        <v>45</v>
      </c>
      <c r="H71" t="s">
        <v>70</v>
      </c>
      <c r="I71" t="s">
        <v>64</v>
      </c>
      <c r="J71" t="s">
        <v>65</v>
      </c>
      <c r="K71" t="s">
        <v>58</v>
      </c>
      <c r="L71">
        <v>1</v>
      </c>
      <c r="M71">
        <v>60</v>
      </c>
      <c r="N71" t="s">
        <v>93</v>
      </c>
      <c r="O71">
        <v>17</v>
      </c>
    </row>
    <row r="72" spans="1:15">
      <c r="A72" s="4">
        <v>45766</v>
      </c>
      <c r="B72" t="s">
        <v>85</v>
      </c>
      <c r="C72" t="s">
        <v>52</v>
      </c>
      <c r="D72">
        <v>840</v>
      </c>
      <c r="E72" t="s">
        <v>62</v>
      </c>
      <c r="F72" t="s">
        <v>162</v>
      </c>
      <c r="G72" t="s">
        <v>45</v>
      </c>
      <c r="H72" t="s">
        <v>55</v>
      </c>
      <c r="I72" t="s">
        <v>92</v>
      </c>
      <c r="J72" t="s">
        <v>65</v>
      </c>
      <c r="K72" t="s">
        <v>58</v>
      </c>
      <c r="L72">
        <v>3</v>
      </c>
      <c r="M72">
        <v>30</v>
      </c>
      <c r="N72" t="s">
        <v>71</v>
      </c>
      <c r="O72">
        <v>10</v>
      </c>
    </row>
    <row r="73" spans="1:15">
      <c r="A73" s="4">
        <v>45770</v>
      </c>
      <c r="B73" t="s">
        <v>72</v>
      </c>
      <c r="C73" t="s">
        <v>98</v>
      </c>
      <c r="D73">
        <v>2420</v>
      </c>
      <c r="E73" t="s">
        <v>62</v>
      </c>
      <c r="F73" t="s">
        <v>163</v>
      </c>
      <c r="G73" t="s">
        <v>45</v>
      </c>
      <c r="H73" t="s">
        <v>70</v>
      </c>
      <c r="I73" t="s">
        <v>56</v>
      </c>
      <c r="J73" t="s">
        <v>65</v>
      </c>
      <c r="K73" t="s">
        <v>58</v>
      </c>
      <c r="L73">
        <v>4</v>
      </c>
      <c r="M73">
        <v>45</v>
      </c>
      <c r="N73" t="s">
        <v>59</v>
      </c>
      <c r="O73">
        <v>3</v>
      </c>
    </row>
    <row r="74" spans="1:15">
      <c r="A74" s="4">
        <v>45861</v>
      </c>
      <c r="B74" t="s">
        <v>116</v>
      </c>
      <c r="C74" t="s">
        <v>52</v>
      </c>
      <c r="D74">
        <v>3010</v>
      </c>
      <c r="E74" t="s">
        <v>53</v>
      </c>
      <c r="F74" t="s">
        <v>164</v>
      </c>
      <c r="G74" t="s">
        <v>45</v>
      </c>
      <c r="H74" t="s">
        <v>55</v>
      </c>
      <c r="I74" t="s">
        <v>64</v>
      </c>
      <c r="J74" t="s">
        <v>57</v>
      </c>
      <c r="K74" t="s">
        <v>66</v>
      </c>
      <c r="L74">
        <v>4</v>
      </c>
      <c r="M74">
        <v>45</v>
      </c>
      <c r="N74" t="s">
        <v>71</v>
      </c>
      <c r="O74">
        <v>10</v>
      </c>
    </row>
    <row r="75" spans="1:15">
      <c r="A75" s="4">
        <v>45750</v>
      </c>
      <c r="B75" t="s">
        <v>90</v>
      </c>
      <c r="C75" t="s">
        <v>81</v>
      </c>
      <c r="D75">
        <v>3430</v>
      </c>
      <c r="E75" t="s">
        <v>74</v>
      </c>
      <c r="F75" t="s">
        <v>165</v>
      </c>
      <c r="G75" t="s">
        <v>45</v>
      </c>
      <c r="H75" t="s">
        <v>55</v>
      </c>
      <c r="I75" t="s">
        <v>79</v>
      </c>
      <c r="J75" t="s">
        <v>57</v>
      </c>
      <c r="K75" t="s">
        <v>66</v>
      </c>
      <c r="L75">
        <v>4</v>
      </c>
      <c r="M75">
        <v>45</v>
      </c>
      <c r="N75" t="s">
        <v>93</v>
      </c>
      <c r="O75">
        <v>8</v>
      </c>
    </row>
    <row r="76" spans="1:15">
      <c r="A76" s="4">
        <v>45937</v>
      </c>
      <c r="B76" t="s">
        <v>80</v>
      </c>
      <c r="C76" t="s">
        <v>86</v>
      </c>
      <c r="D76">
        <v>1150</v>
      </c>
      <c r="E76" t="s">
        <v>53</v>
      </c>
      <c r="F76" t="s">
        <v>166</v>
      </c>
      <c r="G76" t="s">
        <v>45</v>
      </c>
      <c r="H76" t="s">
        <v>55</v>
      </c>
      <c r="I76" t="s">
        <v>56</v>
      </c>
      <c r="J76" t="s">
        <v>57</v>
      </c>
      <c r="K76" t="s">
        <v>58</v>
      </c>
      <c r="L76">
        <v>3</v>
      </c>
      <c r="M76">
        <v>45</v>
      </c>
      <c r="N76" t="s">
        <v>93</v>
      </c>
      <c r="O76">
        <v>15</v>
      </c>
    </row>
    <row r="77" spans="1:15">
      <c r="A77" s="4">
        <v>45862</v>
      </c>
      <c r="B77" t="s">
        <v>51</v>
      </c>
      <c r="C77" t="s">
        <v>114</v>
      </c>
      <c r="D77">
        <v>3150</v>
      </c>
      <c r="E77" t="s">
        <v>74</v>
      </c>
      <c r="F77" t="s">
        <v>167</v>
      </c>
      <c r="G77" t="s">
        <v>45</v>
      </c>
      <c r="H77" t="s">
        <v>70</v>
      </c>
      <c r="I77" t="s">
        <v>92</v>
      </c>
      <c r="J77" t="s">
        <v>57</v>
      </c>
      <c r="K77" t="s">
        <v>76</v>
      </c>
      <c r="L77">
        <v>4</v>
      </c>
      <c r="M77">
        <v>60</v>
      </c>
      <c r="N77" t="s">
        <v>93</v>
      </c>
      <c r="O77">
        <v>6</v>
      </c>
    </row>
    <row r="78" spans="1:15">
      <c r="A78" s="4">
        <v>45715</v>
      </c>
      <c r="B78" t="s">
        <v>85</v>
      </c>
      <c r="C78" t="s">
        <v>77</v>
      </c>
      <c r="D78">
        <v>3250</v>
      </c>
      <c r="E78" t="s">
        <v>74</v>
      </c>
      <c r="F78" t="s">
        <v>168</v>
      </c>
      <c r="G78" t="s">
        <v>46</v>
      </c>
      <c r="H78" t="s">
        <v>55</v>
      </c>
      <c r="I78" t="s">
        <v>64</v>
      </c>
      <c r="J78" t="s">
        <v>65</v>
      </c>
      <c r="K78" t="s">
        <v>66</v>
      </c>
      <c r="L78">
        <v>1</v>
      </c>
      <c r="M78">
        <v>60</v>
      </c>
      <c r="N78" t="s">
        <v>59</v>
      </c>
      <c r="O78">
        <v>18</v>
      </c>
    </row>
    <row r="79" spans="1:15">
      <c r="A79" s="4">
        <v>45947</v>
      </c>
      <c r="B79" t="s">
        <v>109</v>
      </c>
      <c r="C79" t="s">
        <v>52</v>
      </c>
      <c r="D79">
        <v>2150</v>
      </c>
      <c r="E79" t="s">
        <v>62</v>
      </c>
      <c r="F79" t="s">
        <v>169</v>
      </c>
      <c r="G79" t="s">
        <v>46</v>
      </c>
      <c r="H79" t="s">
        <v>70</v>
      </c>
      <c r="I79" t="s">
        <v>79</v>
      </c>
      <c r="J79" t="s">
        <v>65</v>
      </c>
      <c r="K79" t="s">
        <v>76</v>
      </c>
      <c r="L79">
        <v>4</v>
      </c>
      <c r="M79">
        <v>90</v>
      </c>
      <c r="N79" t="s">
        <v>93</v>
      </c>
      <c r="O79">
        <v>17</v>
      </c>
    </row>
    <row r="80" spans="1:15">
      <c r="A80" s="4">
        <v>45926</v>
      </c>
      <c r="B80" t="s">
        <v>72</v>
      </c>
      <c r="C80" t="s">
        <v>77</v>
      </c>
      <c r="D80">
        <v>2490</v>
      </c>
      <c r="E80" t="s">
        <v>62</v>
      </c>
      <c r="F80" t="s">
        <v>170</v>
      </c>
      <c r="G80" t="s">
        <v>46</v>
      </c>
      <c r="H80" t="s">
        <v>55</v>
      </c>
      <c r="I80" t="s">
        <v>84</v>
      </c>
      <c r="J80" t="s">
        <v>57</v>
      </c>
      <c r="K80" t="s">
        <v>58</v>
      </c>
      <c r="L80">
        <v>1</v>
      </c>
      <c r="M80">
        <v>30</v>
      </c>
      <c r="N80" t="s">
        <v>59</v>
      </c>
      <c r="O80">
        <v>12</v>
      </c>
    </row>
    <row r="81" spans="1:15">
      <c r="A81" s="4">
        <v>45945</v>
      </c>
      <c r="B81" t="s">
        <v>67</v>
      </c>
      <c r="C81" t="s">
        <v>114</v>
      </c>
      <c r="D81">
        <v>4730</v>
      </c>
      <c r="E81" t="s">
        <v>53</v>
      </c>
      <c r="F81" t="s">
        <v>171</v>
      </c>
      <c r="G81" t="s">
        <v>46</v>
      </c>
      <c r="H81" t="s">
        <v>55</v>
      </c>
      <c r="I81" t="s">
        <v>84</v>
      </c>
      <c r="J81" t="s">
        <v>57</v>
      </c>
      <c r="K81" t="s">
        <v>66</v>
      </c>
      <c r="L81">
        <v>2</v>
      </c>
      <c r="M81">
        <v>45</v>
      </c>
      <c r="N81" t="s">
        <v>59</v>
      </c>
      <c r="O81">
        <v>16</v>
      </c>
    </row>
    <row r="82" spans="1:15">
      <c r="A82" s="4">
        <v>46010</v>
      </c>
      <c r="B82" t="s">
        <v>94</v>
      </c>
      <c r="C82" t="s">
        <v>61</v>
      </c>
      <c r="D82">
        <v>3920</v>
      </c>
      <c r="E82" t="s">
        <v>74</v>
      </c>
      <c r="F82" t="s">
        <v>172</v>
      </c>
      <c r="G82" t="s">
        <v>46</v>
      </c>
      <c r="H82" t="s">
        <v>70</v>
      </c>
      <c r="I82" t="s">
        <v>56</v>
      </c>
      <c r="J82" t="s">
        <v>65</v>
      </c>
      <c r="K82" t="s">
        <v>66</v>
      </c>
      <c r="L82">
        <v>3</v>
      </c>
      <c r="M82">
        <v>90</v>
      </c>
      <c r="N82" t="s">
        <v>59</v>
      </c>
      <c r="O82">
        <v>14</v>
      </c>
    </row>
    <row r="83" spans="1:15">
      <c r="A83" s="4">
        <v>45748</v>
      </c>
      <c r="B83" t="s">
        <v>109</v>
      </c>
      <c r="C83" t="s">
        <v>52</v>
      </c>
      <c r="D83">
        <v>2380</v>
      </c>
      <c r="E83" t="s">
        <v>53</v>
      </c>
      <c r="F83" t="s">
        <v>173</v>
      </c>
      <c r="G83" t="s">
        <v>46</v>
      </c>
      <c r="H83" t="s">
        <v>55</v>
      </c>
      <c r="I83" t="s">
        <v>56</v>
      </c>
      <c r="J83" t="s">
        <v>57</v>
      </c>
      <c r="K83" t="s">
        <v>58</v>
      </c>
      <c r="L83">
        <v>2</v>
      </c>
      <c r="M83">
        <v>90</v>
      </c>
      <c r="N83" t="s">
        <v>93</v>
      </c>
      <c r="O83">
        <v>8</v>
      </c>
    </row>
    <row r="84" spans="1:15">
      <c r="A84" s="4">
        <v>45831</v>
      </c>
      <c r="B84" t="s">
        <v>109</v>
      </c>
      <c r="C84" t="s">
        <v>98</v>
      </c>
      <c r="D84">
        <v>4510</v>
      </c>
      <c r="E84" t="s">
        <v>53</v>
      </c>
      <c r="F84" t="s">
        <v>174</v>
      </c>
      <c r="G84" t="s">
        <v>45</v>
      </c>
      <c r="H84" t="s">
        <v>55</v>
      </c>
      <c r="I84" t="s">
        <v>88</v>
      </c>
      <c r="J84" t="s">
        <v>65</v>
      </c>
      <c r="K84" t="s">
        <v>58</v>
      </c>
      <c r="L84">
        <v>3</v>
      </c>
      <c r="M84">
        <v>90</v>
      </c>
      <c r="N84" t="s">
        <v>59</v>
      </c>
      <c r="O84">
        <v>3</v>
      </c>
    </row>
    <row r="85" spans="1:15">
      <c r="A85" s="4">
        <v>45718</v>
      </c>
      <c r="B85" t="s">
        <v>51</v>
      </c>
      <c r="C85" t="s">
        <v>52</v>
      </c>
      <c r="D85">
        <v>3550</v>
      </c>
      <c r="E85" t="s">
        <v>62</v>
      </c>
      <c r="F85" t="s">
        <v>175</v>
      </c>
      <c r="G85" t="s">
        <v>46</v>
      </c>
      <c r="H85" t="s">
        <v>55</v>
      </c>
      <c r="I85" t="s">
        <v>79</v>
      </c>
      <c r="J85" t="s">
        <v>65</v>
      </c>
      <c r="K85" t="s">
        <v>66</v>
      </c>
      <c r="L85">
        <v>5</v>
      </c>
      <c r="M85">
        <v>90</v>
      </c>
      <c r="N85" t="s">
        <v>71</v>
      </c>
      <c r="O85">
        <v>15</v>
      </c>
    </row>
    <row r="86" spans="1:15">
      <c r="A86" s="4">
        <v>46016</v>
      </c>
      <c r="B86" t="s">
        <v>94</v>
      </c>
      <c r="C86" t="s">
        <v>98</v>
      </c>
      <c r="D86">
        <v>2540</v>
      </c>
      <c r="E86" t="s">
        <v>53</v>
      </c>
      <c r="F86" t="s">
        <v>176</v>
      </c>
      <c r="G86" t="s">
        <v>45</v>
      </c>
      <c r="H86" t="s">
        <v>55</v>
      </c>
      <c r="I86" t="s">
        <v>92</v>
      </c>
      <c r="J86" t="s">
        <v>57</v>
      </c>
      <c r="K86" t="s">
        <v>58</v>
      </c>
      <c r="L86">
        <v>3</v>
      </c>
      <c r="M86">
        <v>90</v>
      </c>
      <c r="N86" t="s">
        <v>93</v>
      </c>
      <c r="O86">
        <v>13</v>
      </c>
    </row>
    <row r="87" spans="1:15">
      <c r="A87" s="4">
        <v>45802</v>
      </c>
      <c r="B87" t="s">
        <v>85</v>
      </c>
      <c r="C87" t="s">
        <v>52</v>
      </c>
      <c r="D87">
        <v>4740</v>
      </c>
      <c r="E87" t="s">
        <v>62</v>
      </c>
      <c r="F87" t="s">
        <v>177</v>
      </c>
      <c r="G87" t="s">
        <v>45</v>
      </c>
      <c r="H87" t="s">
        <v>55</v>
      </c>
      <c r="I87" t="s">
        <v>84</v>
      </c>
      <c r="J87" t="s">
        <v>65</v>
      </c>
      <c r="K87" t="s">
        <v>76</v>
      </c>
      <c r="L87">
        <v>4</v>
      </c>
      <c r="M87">
        <v>60</v>
      </c>
      <c r="N87" t="s">
        <v>71</v>
      </c>
      <c r="O87">
        <v>19</v>
      </c>
    </row>
    <row r="88" spans="1:15">
      <c r="A88" s="4">
        <v>45903</v>
      </c>
      <c r="B88" t="s">
        <v>109</v>
      </c>
      <c r="C88" t="s">
        <v>114</v>
      </c>
      <c r="D88">
        <v>1170</v>
      </c>
      <c r="E88" t="s">
        <v>53</v>
      </c>
      <c r="F88" t="s">
        <v>178</v>
      </c>
      <c r="G88" t="s">
        <v>46</v>
      </c>
      <c r="H88" t="s">
        <v>70</v>
      </c>
      <c r="I88" t="s">
        <v>92</v>
      </c>
      <c r="J88" t="s">
        <v>65</v>
      </c>
      <c r="K88" t="s">
        <v>76</v>
      </c>
      <c r="L88">
        <v>3</v>
      </c>
      <c r="M88">
        <v>45</v>
      </c>
      <c r="N88" t="s">
        <v>59</v>
      </c>
      <c r="O88">
        <v>13</v>
      </c>
    </row>
    <row r="89" spans="1:15">
      <c r="A89" s="4">
        <v>45910</v>
      </c>
      <c r="B89" t="s">
        <v>67</v>
      </c>
      <c r="C89" t="s">
        <v>61</v>
      </c>
      <c r="D89">
        <v>2340</v>
      </c>
      <c r="E89" t="s">
        <v>53</v>
      </c>
      <c r="F89" t="s">
        <v>179</v>
      </c>
      <c r="G89" t="s">
        <v>46</v>
      </c>
      <c r="H89" t="s">
        <v>70</v>
      </c>
      <c r="I89" t="s">
        <v>84</v>
      </c>
      <c r="J89" t="s">
        <v>57</v>
      </c>
      <c r="K89" t="s">
        <v>66</v>
      </c>
      <c r="L89">
        <v>1</v>
      </c>
      <c r="M89">
        <v>45</v>
      </c>
      <c r="N89" t="s">
        <v>59</v>
      </c>
      <c r="O89">
        <v>10</v>
      </c>
    </row>
    <row r="90" spans="1:15">
      <c r="A90" s="4">
        <v>45678</v>
      </c>
      <c r="B90" t="s">
        <v>85</v>
      </c>
      <c r="C90" t="s">
        <v>68</v>
      </c>
      <c r="D90">
        <v>3520</v>
      </c>
      <c r="E90" t="s">
        <v>74</v>
      </c>
      <c r="F90" t="s">
        <v>180</v>
      </c>
      <c r="G90" t="s">
        <v>46</v>
      </c>
      <c r="H90" t="s">
        <v>55</v>
      </c>
      <c r="I90" t="s">
        <v>88</v>
      </c>
      <c r="J90" t="s">
        <v>57</v>
      </c>
      <c r="K90" t="s">
        <v>76</v>
      </c>
      <c r="L90">
        <v>2</v>
      </c>
      <c r="M90">
        <v>90</v>
      </c>
      <c r="N90" t="s">
        <v>59</v>
      </c>
      <c r="O90">
        <v>7</v>
      </c>
    </row>
    <row r="91" spans="1:15">
      <c r="A91" s="4">
        <v>45927</v>
      </c>
      <c r="B91" t="s">
        <v>72</v>
      </c>
      <c r="C91" t="s">
        <v>81</v>
      </c>
      <c r="D91">
        <v>1590</v>
      </c>
      <c r="E91" t="s">
        <v>53</v>
      </c>
      <c r="F91" t="s">
        <v>181</v>
      </c>
      <c r="G91" t="s">
        <v>46</v>
      </c>
      <c r="H91" t="s">
        <v>55</v>
      </c>
      <c r="I91" t="s">
        <v>88</v>
      </c>
      <c r="J91" t="s">
        <v>65</v>
      </c>
      <c r="K91" t="s">
        <v>76</v>
      </c>
      <c r="L91">
        <v>2</v>
      </c>
      <c r="M91">
        <v>60</v>
      </c>
      <c r="N91" t="s">
        <v>93</v>
      </c>
      <c r="O91">
        <v>9</v>
      </c>
    </row>
    <row r="92" spans="1:15">
      <c r="A92" s="4">
        <v>45658</v>
      </c>
      <c r="B92" t="s">
        <v>94</v>
      </c>
      <c r="C92" t="s">
        <v>77</v>
      </c>
      <c r="D92">
        <v>600</v>
      </c>
      <c r="E92" t="s">
        <v>62</v>
      </c>
      <c r="F92" t="s">
        <v>182</v>
      </c>
      <c r="G92" t="s">
        <v>45</v>
      </c>
      <c r="H92" t="s">
        <v>55</v>
      </c>
      <c r="I92" t="s">
        <v>56</v>
      </c>
      <c r="J92" t="s">
        <v>65</v>
      </c>
      <c r="K92" t="s">
        <v>76</v>
      </c>
      <c r="L92">
        <v>3</v>
      </c>
      <c r="M92">
        <v>90</v>
      </c>
      <c r="N92" t="s">
        <v>71</v>
      </c>
      <c r="O92">
        <v>6</v>
      </c>
    </row>
    <row r="93" spans="1:15">
      <c r="A93" s="4">
        <v>45836</v>
      </c>
      <c r="B93" t="s">
        <v>101</v>
      </c>
      <c r="C93" t="s">
        <v>61</v>
      </c>
      <c r="D93">
        <v>1070</v>
      </c>
      <c r="E93" t="s">
        <v>74</v>
      </c>
      <c r="F93" t="s">
        <v>183</v>
      </c>
      <c r="G93" t="s">
        <v>45</v>
      </c>
      <c r="H93" t="s">
        <v>70</v>
      </c>
      <c r="I93" t="s">
        <v>84</v>
      </c>
      <c r="J93" t="s">
        <v>57</v>
      </c>
      <c r="K93" t="s">
        <v>66</v>
      </c>
      <c r="L93">
        <v>2</v>
      </c>
      <c r="M93">
        <v>45</v>
      </c>
      <c r="N93" t="s">
        <v>59</v>
      </c>
      <c r="O93">
        <v>4</v>
      </c>
    </row>
    <row r="94" spans="1:15">
      <c r="A94" s="4">
        <v>45989</v>
      </c>
      <c r="B94" t="s">
        <v>116</v>
      </c>
      <c r="C94" t="s">
        <v>114</v>
      </c>
      <c r="D94">
        <v>4700</v>
      </c>
      <c r="E94" t="s">
        <v>53</v>
      </c>
      <c r="F94" t="s">
        <v>184</v>
      </c>
      <c r="G94" t="s">
        <v>45</v>
      </c>
      <c r="H94" t="s">
        <v>55</v>
      </c>
      <c r="I94" t="s">
        <v>88</v>
      </c>
      <c r="J94" t="s">
        <v>57</v>
      </c>
      <c r="K94" t="s">
        <v>58</v>
      </c>
      <c r="L94">
        <v>2</v>
      </c>
      <c r="M94">
        <v>90</v>
      </c>
      <c r="N94" t="s">
        <v>71</v>
      </c>
      <c r="O94">
        <v>5</v>
      </c>
    </row>
    <row r="95" spans="1:15">
      <c r="A95" s="4">
        <v>45978</v>
      </c>
      <c r="B95" t="s">
        <v>60</v>
      </c>
      <c r="C95" t="s">
        <v>114</v>
      </c>
      <c r="D95">
        <v>590</v>
      </c>
      <c r="E95" t="s">
        <v>74</v>
      </c>
      <c r="F95" t="s">
        <v>185</v>
      </c>
      <c r="G95" t="s">
        <v>45</v>
      </c>
      <c r="H95" t="s">
        <v>55</v>
      </c>
      <c r="I95" t="s">
        <v>64</v>
      </c>
      <c r="J95" t="s">
        <v>65</v>
      </c>
      <c r="K95" t="s">
        <v>66</v>
      </c>
      <c r="L95">
        <v>1</v>
      </c>
      <c r="M95">
        <v>45</v>
      </c>
      <c r="N95" t="s">
        <v>59</v>
      </c>
      <c r="O95">
        <v>19</v>
      </c>
    </row>
    <row r="96" spans="1:15">
      <c r="A96" s="4">
        <v>45715</v>
      </c>
      <c r="B96" t="s">
        <v>51</v>
      </c>
      <c r="C96" t="s">
        <v>95</v>
      </c>
      <c r="D96">
        <v>930</v>
      </c>
      <c r="E96" t="s">
        <v>53</v>
      </c>
      <c r="F96" t="s">
        <v>186</v>
      </c>
      <c r="G96" t="s">
        <v>46</v>
      </c>
      <c r="H96" t="s">
        <v>55</v>
      </c>
      <c r="I96" t="s">
        <v>88</v>
      </c>
      <c r="J96" t="s">
        <v>65</v>
      </c>
      <c r="K96" t="s">
        <v>66</v>
      </c>
      <c r="L96">
        <v>4</v>
      </c>
      <c r="M96">
        <v>90</v>
      </c>
      <c r="N96" t="s">
        <v>93</v>
      </c>
      <c r="O96">
        <v>20</v>
      </c>
    </row>
    <row r="97" spans="1:15">
      <c r="A97" s="4">
        <v>45746</v>
      </c>
      <c r="B97" t="s">
        <v>51</v>
      </c>
      <c r="C97" t="s">
        <v>114</v>
      </c>
      <c r="D97">
        <v>1110</v>
      </c>
      <c r="E97" t="s">
        <v>62</v>
      </c>
      <c r="F97" t="s">
        <v>187</v>
      </c>
      <c r="G97" t="s">
        <v>45</v>
      </c>
      <c r="H97" t="s">
        <v>70</v>
      </c>
      <c r="I97" t="s">
        <v>88</v>
      </c>
      <c r="J97" t="s">
        <v>57</v>
      </c>
      <c r="K97" t="s">
        <v>76</v>
      </c>
      <c r="L97">
        <v>3</v>
      </c>
      <c r="M97">
        <v>45</v>
      </c>
      <c r="N97" t="s">
        <v>93</v>
      </c>
      <c r="O97">
        <v>8</v>
      </c>
    </row>
    <row r="98" spans="1:15">
      <c r="A98" s="4">
        <v>45852</v>
      </c>
      <c r="B98" t="s">
        <v>80</v>
      </c>
      <c r="C98" t="s">
        <v>95</v>
      </c>
      <c r="D98">
        <v>2040</v>
      </c>
      <c r="E98" t="s">
        <v>74</v>
      </c>
      <c r="F98" t="s">
        <v>188</v>
      </c>
      <c r="G98" t="s">
        <v>45</v>
      </c>
      <c r="H98" t="s">
        <v>55</v>
      </c>
      <c r="I98" t="s">
        <v>79</v>
      </c>
      <c r="J98" t="s">
        <v>57</v>
      </c>
      <c r="K98" t="s">
        <v>76</v>
      </c>
      <c r="L98">
        <v>1</v>
      </c>
      <c r="M98">
        <v>45</v>
      </c>
      <c r="N98" t="s">
        <v>59</v>
      </c>
      <c r="O98">
        <v>6</v>
      </c>
    </row>
    <row r="99" spans="1:15">
      <c r="A99" s="4">
        <v>46022</v>
      </c>
      <c r="B99" t="s">
        <v>97</v>
      </c>
      <c r="C99" t="s">
        <v>95</v>
      </c>
      <c r="D99">
        <v>2920</v>
      </c>
      <c r="E99" t="s">
        <v>62</v>
      </c>
      <c r="F99" t="s">
        <v>189</v>
      </c>
      <c r="G99" t="s">
        <v>45</v>
      </c>
      <c r="H99" t="s">
        <v>70</v>
      </c>
      <c r="I99" t="s">
        <v>64</v>
      </c>
      <c r="J99" t="s">
        <v>57</v>
      </c>
      <c r="K99" t="s">
        <v>66</v>
      </c>
      <c r="L99">
        <v>5</v>
      </c>
      <c r="M99">
        <v>60</v>
      </c>
      <c r="N99" t="s">
        <v>59</v>
      </c>
      <c r="O99">
        <v>12</v>
      </c>
    </row>
    <row r="100" spans="1:15">
      <c r="A100" s="4">
        <v>45793</v>
      </c>
      <c r="B100" t="s">
        <v>109</v>
      </c>
      <c r="C100" t="s">
        <v>61</v>
      </c>
      <c r="D100">
        <v>520</v>
      </c>
      <c r="E100" t="s">
        <v>53</v>
      </c>
      <c r="F100" t="s">
        <v>190</v>
      </c>
      <c r="G100" t="s">
        <v>46</v>
      </c>
      <c r="H100" t="s">
        <v>55</v>
      </c>
      <c r="I100" t="s">
        <v>84</v>
      </c>
      <c r="J100" t="s">
        <v>65</v>
      </c>
      <c r="K100" t="s">
        <v>76</v>
      </c>
      <c r="L100">
        <v>3</v>
      </c>
      <c r="M100">
        <v>60</v>
      </c>
      <c r="N100" t="s">
        <v>59</v>
      </c>
      <c r="O100">
        <v>8</v>
      </c>
    </row>
    <row r="101" spans="1:15">
      <c r="A101" s="4">
        <v>45974</v>
      </c>
      <c r="B101" t="s">
        <v>72</v>
      </c>
      <c r="C101" t="s">
        <v>114</v>
      </c>
      <c r="D101">
        <v>420</v>
      </c>
      <c r="E101" t="s">
        <v>74</v>
      </c>
      <c r="F101" t="s">
        <v>191</v>
      </c>
      <c r="G101" t="s">
        <v>45</v>
      </c>
      <c r="H101" t="s">
        <v>55</v>
      </c>
      <c r="I101" t="s">
        <v>84</v>
      </c>
      <c r="J101" t="s">
        <v>65</v>
      </c>
      <c r="K101" t="s">
        <v>66</v>
      </c>
      <c r="L101">
        <v>1</v>
      </c>
      <c r="M101">
        <v>60</v>
      </c>
      <c r="N101" t="s">
        <v>93</v>
      </c>
      <c r="O101">
        <v>19</v>
      </c>
    </row>
    <row r="102" spans="1:15">
      <c r="A102" s="4">
        <v>45965</v>
      </c>
      <c r="B102" t="s">
        <v>94</v>
      </c>
      <c r="C102" t="s">
        <v>86</v>
      </c>
      <c r="D102">
        <v>2220</v>
      </c>
      <c r="E102" t="s">
        <v>62</v>
      </c>
      <c r="F102" t="s">
        <v>192</v>
      </c>
      <c r="G102" t="s">
        <v>45</v>
      </c>
      <c r="H102" t="s">
        <v>70</v>
      </c>
      <c r="I102" t="s">
        <v>79</v>
      </c>
      <c r="J102" t="s">
        <v>57</v>
      </c>
      <c r="K102" t="s">
        <v>58</v>
      </c>
      <c r="L102">
        <v>1</v>
      </c>
      <c r="M102">
        <v>45</v>
      </c>
      <c r="N102" t="s">
        <v>93</v>
      </c>
      <c r="O102">
        <v>10</v>
      </c>
    </row>
    <row r="103" spans="1:15">
      <c r="A103" s="4">
        <v>45669</v>
      </c>
      <c r="B103" t="s">
        <v>101</v>
      </c>
      <c r="C103" t="s">
        <v>61</v>
      </c>
      <c r="D103">
        <v>3470</v>
      </c>
      <c r="E103" t="s">
        <v>62</v>
      </c>
      <c r="F103" t="s">
        <v>193</v>
      </c>
      <c r="G103" t="s">
        <v>46</v>
      </c>
      <c r="H103" t="s">
        <v>55</v>
      </c>
      <c r="I103" t="s">
        <v>84</v>
      </c>
      <c r="J103" t="s">
        <v>65</v>
      </c>
      <c r="K103" t="s">
        <v>58</v>
      </c>
      <c r="L103">
        <v>3</v>
      </c>
      <c r="M103">
        <v>90</v>
      </c>
      <c r="N103" t="s">
        <v>59</v>
      </c>
      <c r="O103">
        <v>4</v>
      </c>
    </row>
    <row r="104" spans="1:15">
      <c r="A104" s="4">
        <v>45774</v>
      </c>
      <c r="B104" t="s">
        <v>67</v>
      </c>
      <c r="C104" t="s">
        <v>81</v>
      </c>
      <c r="D104">
        <v>4540</v>
      </c>
      <c r="E104" t="s">
        <v>53</v>
      </c>
      <c r="F104" t="s">
        <v>194</v>
      </c>
      <c r="G104" t="s">
        <v>45</v>
      </c>
      <c r="H104" t="s">
        <v>70</v>
      </c>
      <c r="I104" t="s">
        <v>79</v>
      </c>
      <c r="J104" t="s">
        <v>65</v>
      </c>
      <c r="K104" t="s">
        <v>66</v>
      </c>
      <c r="L104">
        <v>1</v>
      </c>
      <c r="M104">
        <v>90</v>
      </c>
      <c r="N104" t="s">
        <v>93</v>
      </c>
      <c r="O104">
        <v>15</v>
      </c>
    </row>
    <row r="105" spans="1:15">
      <c r="A105" s="4">
        <v>45971</v>
      </c>
      <c r="B105" t="s">
        <v>80</v>
      </c>
      <c r="C105" t="s">
        <v>61</v>
      </c>
      <c r="D105">
        <v>4230</v>
      </c>
      <c r="E105" t="s">
        <v>62</v>
      </c>
      <c r="F105" t="s">
        <v>195</v>
      </c>
      <c r="G105" t="s">
        <v>45</v>
      </c>
      <c r="H105" t="s">
        <v>55</v>
      </c>
      <c r="I105" t="s">
        <v>92</v>
      </c>
      <c r="J105" t="s">
        <v>57</v>
      </c>
      <c r="K105" t="s">
        <v>58</v>
      </c>
      <c r="L105">
        <v>3</v>
      </c>
      <c r="M105">
        <v>90</v>
      </c>
      <c r="N105" t="s">
        <v>93</v>
      </c>
      <c r="O105">
        <v>7</v>
      </c>
    </row>
    <row r="106" spans="1:15">
      <c r="A106" s="4">
        <v>45874</v>
      </c>
      <c r="B106" t="s">
        <v>85</v>
      </c>
      <c r="C106" t="s">
        <v>98</v>
      </c>
      <c r="D106">
        <v>650</v>
      </c>
      <c r="E106" t="s">
        <v>74</v>
      </c>
      <c r="F106" t="s">
        <v>196</v>
      </c>
      <c r="G106" t="s">
        <v>46</v>
      </c>
      <c r="H106" t="s">
        <v>70</v>
      </c>
      <c r="I106" t="s">
        <v>88</v>
      </c>
      <c r="J106" t="s">
        <v>57</v>
      </c>
      <c r="K106" t="s">
        <v>66</v>
      </c>
      <c r="L106">
        <v>2</v>
      </c>
      <c r="M106">
        <v>45</v>
      </c>
      <c r="N106" t="s">
        <v>93</v>
      </c>
      <c r="O106">
        <v>15</v>
      </c>
    </row>
    <row r="107" spans="1:15">
      <c r="A107" s="4">
        <v>45759</v>
      </c>
      <c r="B107" t="s">
        <v>109</v>
      </c>
      <c r="C107" t="s">
        <v>73</v>
      </c>
      <c r="D107">
        <v>4410</v>
      </c>
      <c r="E107" t="s">
        <v>74</v>
      </c>
      <c r="F107" t="s">
        <v>197</v>
      </c>
      <c r="G107" t="s">
        <v>45</v>
      </c>
      <c r="H107" t="s">
        <v>55</v>
      </c>
      <c r="I107" t="s">
        <v>92</v>
      </c>
      <c r="J107" t="s">
        <v>65</v>
      </c>
      <c r="K107" t="s">
        <v>76</v>
      </c>
      <c r="L107">
        <v>4</v>
      </c>
      <c r="M107">
        <v>90</v>
      </c>
      <c r="N107" t="s">
        <v>93</v>
      </c>
      <c r="O107">
        <v>15</v>
      </c>
    </row>
    <row r="108" spans="1:15">
      <c r="A108" s="4">
        <v>46010</v>
      </c>
      <c r="B108" t="s">
        <v>109</v>
      </c>
      <c r="C108" t="s">
        <v>98</v>
      </c>
      <c r="D108">
        <v>1780</v>
      </c>
      <c r="E108" t="s">
        <v>53</v>
      </c>
      <c r="F108" t="s">
        <v>198</v>
      </c>
      <c r="G108" t="s">
        <v>46</v>
      </c>
      <c r="H108" t="s">
        <v>70</v>
      </c>
      <c r="I108" t="s">
        <v>79</v>
      </c>
      <c r="J108" t="s">
        <v>57</v>
      </c>
      <c r="K108" t="s">
        <v>66</v>
      </c>
      <c r="L108">
        <v>3</v>
      </c>
      <c r="M108">
        <v>90</v>
      </c>
      <c r="N108" t="s">
        <v>59</v>
      </c>
      <c r="O108">
        <v>19</v>
      </c>
    </row>
    <row r="109" spans="1:15">
      <c r="A109" s="4">
        <v>46017</v>
      </c>
      <c r="B109" t="s">
        <v>80</v>
      </c>
      <c r="C109" t="s">
        <v>73</v>
      </c>
      <c r="D109">
        <v>4350</v>
      </c>
      <c r="E109" t="s">
        <v>62</v>
      </c>
      <c r="F109" t="s">
        <v>199</v>
      </c>
      <c r="G109" t="s">
        <v>46</v>
      </c>
      <c r="H109" t="s">
        <v>70</v>
      </c>
      <c r="I109" t="s">
        <v>88</v>
      </c>
      <c r="J109" t="s">
        <v>65</v>
      </c>
      <c r="K109" t="s">
        <v>76</v>
      </c>
      <c r="L109">
        <v>3</v>
      </c>
      <c r="M109">
        <v>30</v>
      </c>
      <c r="N109" t="s">
        <v>93</v>
      </c>
      <c r="O109">
        <v>8</v>
      </c>
    </row>
    <row r="110" spans="1:15">
      <c r="A110" s="4">
        <v>46021</v>
      </c>
      <c r="B110" t="s">
        <v>109</v>
      </c>
      <c r="C110" t="s">
        <v>81</v>
      </c>
      <c r="D110">
        <v>650</v>
      </c>
      <c r="E110" t="s">
        <v>62</v>
      </c>
      <c r="F110" t="s">
        <v>200</v>
      </c>
      <c r="G110" t="s">
        <v>46</v>
      </c>
      <c r="H110" t="s">
        <v>70</v>
      </c>
      <c r="I110" t="s">
        <v>84</v>
      </c>
      <c r="J110" t="s">
        <v>57</v>
      </c>
      <c r="K110" t="s">
        <v>76</v>
      </c>
      <c r="L110">
        <v>3</v>
      </c>
      <c r="M110">
        <v>45</v>
      </c>
      <c r="N110" t="s">
        <v>93</v>
      </c>
      <c r="O110">
        <v>5</v>
      </c>
    </row>
    <row r="111" spans="1:15">
      <c r="A111" s="4">
        <v>45751</v>
      </c>
      <c r="B111" t="s">
        <v>97</v>
      </c>
      <c r="C111" t="s">
        <v>98</v>
      </c>
      <c r="D111">
        <v>4970</v>
      </c>
      <c r="E111" t="s">
        <v>74</v>
      </c>
      <c r="F111" t="s">
        <v>201</v>
      </c>
      <c r="G111" t="s">
        <v>45</v>
      </c>
      <c r="H111" t="s">
        <v>70</v>
      </c>
      <c r="I111" t="s">
        <v>56</v>
      </c>
      <c r="J111" t="s">
        <v>57</v>
      </c>
      <c r="K111" t="s">
        <v>58</v>
      </c>
      <c r="L111">
        <v>1</v>
      </c>
      <c r="M111">
        <v>45</v>
      </c>
      <c r="N111" t="s">
        <v>71</v>
      </c>
      <c r="O111">
        <v>10</v>
      </c>
    </row>
    <row r="112" spans="1:15">
      <c r="A112" s="4">
        <v>45679</v>
      </c>
      <c r="B112" t="s">
        <v>85</v>
      </c>
      <c r="C112" t="s">
        <v>95</v>
      </c>
      <c r="D112">
        <v>4550</v>
      </c>
      <c r="E112" t="s">
        <v>53</v>
      </c>
      <c r="F112" t="s">
        <v>202</v>
      </c>
      <c r="G112" t="s">
        <v>45</v>
      </c>
      <c r="H112" t="s">
        <v>55</v>
      </c>
      <c r="I112" t="s">
        <v>79</v>
      </c>
      <c r="J112" t="s">
        <v>57</v>
      </c>
      <c r="K112" t="s">
        <v>76</v>
      </c>
      <c r="L112">
        <v>5</v>
      </c>
      <c r="M112">
        <v>45</v>
      </c>
      <c r="N112" t="s">
        <v>93</v>
      </c>
      <c r="O112">
        <v>9</v>
      </c>
    </row>
    <row r="113" spans="1:15">
      <c r="A113" s="4">
        <v>45840</v>
      </c>
      <c r="B113" t="s">
        <v>51</v>
      </c>
      <c r="C113" t="s">
        <v>73</v>
      </c>
      <c r="D113">
        <v>2610</v>
      </c>
      <c r="E113" t="s">
        <v>62</v>
      </c>
      <c r="F113" t="s">
        <v>203</v>
      </c>
      <c r="G113" t="s">
        <v>46</v>
      </c>
      <c r="H113" t="s">
        <v>70</v>
      </c>
      <c r="I113" t="s">
        <v>56</v>
      </c>
      <c r="J113" t="s">
        <v>57</v>
      </c>
      <c r="K113" t="s">
        <v>58</v>
      </c>
      <c r="L113">
        <v>4</v>
      </c>
      <c r="M113">
        <v>60</v>
      </c>
      <c r="N113" t="s">
        <v>71</v>
      </c>
      <c r="O113">
        <v>18</v>
      </c>
    </row>
    <row r="114" spans="1:15">
      <c r="A114" s="4">
        <v>45869</v>
      </c>
      <c r="B114" t="s">
        <v>51</v>
      </c>
      <c r="C114" t="s">
        <v>81</v>
      </c>
      <c r="D114">
        <v>4770</v>
      </c>
      <c r="E114" t="s">
        <v>53</v>
      </c>
      <c r="F114" t="s">
        <v>204</v>
      </c>
      <c r="G114" t="s">
        <v>46</v>
      </c>
      <c r="H114" t="s">
        <v>55</v>
      </c>
      <c r="I114" t="s">
        <v>56</v>
      </c>
      <c r="J114" t="s">
        <v>57</v>
      </c>
      <c r="K114" t="s">
        <v>76</v>
      </c>
      <c r="L114">
        <v>1</v>
      </c>
      <c r="M114">
        <v>60</v>
      </c>
      <c r="N114" t="s">
        <v>71</v>
      </c>
      <c r="O114">
        <v>5</v>
      </c>
    </row>
    <row r="115" spans="1:15">
      <c r="A115" s="4">
        <v>45878</v>
      </c>
      <c r="B115" t="s">
        <v>116</v>
      </c>
      <c r="C115" t="s">
        <v>81</v>
      </c>
      <c r="D115">
        <v>2590</v>
      </c>
      <c r="E115" t="s">
        <v>62</v>
      </c>
      <c r="F115" t="s">
        <v>205</v>
      </c>
      <c r="G115" t="s">
        <v>45</v>
      </c>
      <c r="H115" t="s">
        <v>70</v>
      </c>
      <c r="I115" t="s">
        <v>56</v>
      </c>
      <c r="J115" t="s">
        <v>57</v>
      </c>
      <c r="K115" t="s">
        <v>76</v>
      </c>
      <c r="L115">
        <v>4</v>
      </c>
      <c r="M115">
        <v>60</v>
      </c>
      <c r="N115" t="s">
        <v>59</v>
      </c>
      <c r="O115">
        <v>14</v>
      </c>
    </row>
    <row r="116" spans="1:15">
      <c r="A116" s="4">
        <v>45968</v>
      </c>
      <c r="B116" t="s">
        <v>116</v>
      </c>
      <c r="C116" t="s">
        <v>77</v>
      </c>
      <c r="D116">
        <v>2190</v>
      </c>
      <c r="E116" t="s">
        <v>53</v>
      </c>
      <c r="F116" t="s">
        <v>206</v>
      </c>
      <c r="G116" t="s">
        <v>45</v>
      </c>
      <c r="H116" t="s">
        <v>70</v>
      </c>
      <c r="I116" t="s">
        <v>64</v>
      </c>
      <c r="J116" t="s">
        <v>57</v>
      </c>
      <c r="K116" t="s">
        <v>66</v>
      </c>
      <c r="L116">
        <v>2</v>
      </c>
      <c r="M116">
        <v>90</v>
      </c>
      <c r="N116" t="s">
        <v>71</v>
      </c>
      <c r="O116">
        <v>7</v>
      </c>
    </row>
    <row r="117" spans="1:15">
      <c r="A117" s="4">
        <v>45981</v>
      </c>
      <c r="B117" t="s">
        <v>51</v>
      </c>
      <c r="C117" t="s">
        <v>52</v>
      </c>
      <c r="D117">
        <v>2440</v>
      </c>
      <c r="E117" t="s">
        <v>53</v>
      </c>
      <c r="F117" t="s">
        <v>207</v>
      </c>
      <c r="G117" t="s">
        <v>45</v>
      </c>
      <c r="H117" t="s">
        <v>70</v>
      </c>
      <c r="I117" t="s">
        <v>64</v>
      </c>
      <c r="J117" t="s">
        <v>57</v>
      </c>
      <c r="K117" t="s">
        <v>66</v>
      </c>
      <c r="L117">
        <v>5</v>
      </c>
      <c r="M117">
        <v>45</v>
      </c>
      <c r="N117" t="s">
        <v>71</v>
      </c>
      <c r="O117">
        <v>3</v>
      </c>
    </row>
    <row r="118" spans="1:15">
      <c r="A118" s="4">
        <v>45772</v>
      </c>
      <c r="B118" t="s">
        <v>67</v>
      </c>
      <c r="C118" t="s">
        <v>86</v>
      </c>
      <c r="D118">
        <v>860</v>
      </c>
      <c r="E118" t="s">
        <v>53</v>
      </c>
      <c r="F118" t="s">
        <v>208</v>
      </c>
      <c r="G118" t="s">
        <v>45</v>
      </c>
      <c r="H118" t="s">
        <v>55</v>
      </c>
      <c r="I118" t="s">
        <v>88</v>
      </c>
      <c r="J118" t="s">
        <v>65</v>
      </c>
      <c r="K118" t="s">
        <v>58</v>
      </c>
      <c r="L118">
        <v>3</v>
      </c>
      <c r="M118">
        <v>60</v>
      </c>
      <c r="N118" t="s">
        <v>71</v>
      </c>
      <c r="O118">
        <v>20</v>
      </c>
    </row>
    <row r="119" spans="1:15">
      <c r="A119" s="4">
        <v>45820</v>
      </c>
      <c r="B119" t="s">
        <v>85</v>
      </c>
      <c r="C119" t="s">
        <v>52</v>
      </c>
      <c r="D119">
        <v>2000</v>
      </c>
      <c r="E119" t="s">
        <v>74</v>
      </c>
      <c r="F119" t="s">
        <v>209</v>
      </c>
      <c r="G119" t="s">
        <v>46</v>
      </c>
      <c r="H119" t="s">
        <v>55</v>
      </c>
      <c r="I119" t="s">
        <v>56</v>
      </c>
      <c r="J119" t="s">
        <v>65</v>
      </c>
      <c r="K119" t="s">
        <v>76</v>
      </c>
      <c r="L119">
        <v>3</v>
      </c>
      <c r="M119">
        <v>30</v>
      </c>
      <c r="N119" t="s">
        <v>71</v>
      </c>
      <c r="O119">
        <v>7</v>
      </c>
    </row>
    <row r="120" spans="1:15">
      <c r="A120" s="4">
        <v>45889</v>
      </c>
      <c r="B120" t="s">
        <v>101</v>
      </c>
      <c r="C120" t="s">
        <v>86</v>
      </c>
      <c r="D120">
        <v>3130</v>
      </c>
      <c r="E120" t="s">
        <v>53</v>
      </c>
      <c r="F120" t="s">
        <v>210</v>
      </c>
      <c r="G120" t="s">
        <v>46</v>
      </c>
      <c r="H120" t="s">
        <v>55</v>
      </c>
      <c r="I120" t="s">
        <v>88</v>
      </c>
      <c r="J120" t="s">
        <v>65</v>
      </c>
      <c r="K120" t="s">
        <v>76</v>
      </c>
      <c r="L120">
        <v>3</v>
      </c>
      <c r="M120">
        <v>45</v>
      </c>
      <c r="N120" t="s">
        <v>71</v>
      </c>
      <c r="O120">
        <v>18</v>
      </c>
    </row>
    <row r="121" spans="1:15">
      <c r="A121" s="4">
        <v>45777</v>
      </c>
      <c r="B121" t="s">
        <v>101</v>
      </c>
      <c r="C121" t="s">
        <v>68</v>
      </c>
      <c r="D121">
        <v>2650</v>
      </c>
      <c r="E121" t="s">
        <v>74</v>
      </c>
      <c r="F121" t="s">
        <v>211</v>
      </c>
      <c r="G121" t="s">
        <v>45</v>
      </c>
      <c r="H121" t="s">
        <v>55</v>
      </c>
      <c r="I121" t="s">
        <v>88</v>
      </c>
      <c r="J121" t="s">
        <v>65</v>
      </c>
      <c r="K121" t="s">
        <v>76</v>
      </c>
      <c r="L121">
        <v>3</v>
      </c>
      <c r="M121">
        <v>60</v>
      </c>
      <c r="N121" t="s">
        <v>71</v>
      </c>
      <c r="O121">
        <v>19</v>
      </c>
    </row>
    <row r="122" spans="1:15">
      <c r="A122" s="4">
        <v>45991</v>
      </c>
      <c r="B122" t="s">
        <v>60</v>
      </c>
      <c r="C122" t="s">
        <v>95</v>
      </c>
      <c r="D122">
        <v>4320</v>
      </c>
      <c r="E122" t="s">
        <v>53</v>
      </c>
      <c r="F122" t="s">
        <v>212</v>
      </c>
      <c r="G122" t="s">
        <v>46</v>
      </c>
      <c r="H122" t="s">
        <v>55</v>
      </c>
      <c r="I122" t="s">
        <v>64</v>
      </c>
      <c r="J122" t="s">
        <v>65</v>
      </c>
      <c r="K122" t="s">
        <v>58</v>
      </c>
      <c r="L122">
        <v>4</v>
      </c>
      <c r="M122">
        <v>45</v>
      </c>
      <c r="N122" t="s">
        <v>93</v>
      </c>
      <c r="O122">
        <v>12</v>
      </c>
    </row>
    <row r="123" spans="1:15">
      <c r="A123" s="4">
        <v>45868</v>
      </c>
      <c r="B123" t="s">
        <v>72</v>
      </c>
      <c r="C123" t="s">
        <v>52</v>
      </c>
      <c r="D123">
        <v>2470</v>
      </c>
      <c r="E123" t="s">
        <v>74</v>
      </c>
      <c r="F123" t="s">
        <v>213</v>
      </c>
      <c r="G123" t="s">
        <v>45</v>
      </c>
      <c r="H123" t="s">
        <v>55</v>
      </c>
      <c r="I123" t="s">
        <v>92</v>
      </c>
      <c r="J123" t="s">
        <v>65</v>
      </c>
      <c r="K123" t="s">
        <v>66</v>
      </c>
      <c r="L123">
        <v>2</v>
      </c>
      <c r="M123">
        <v>45</v>
      </c>
      <c r="N123" t="s">
        <v>93</v>
      </c>
      <c r="O123">
        <v>15</v>
      </c>
    </row>
    <row r="124" spans="1:15">
      <c r="A124" s="4">
        <v>45974</v>
      </c>
      <c r="B124" t="s">
        <v>85</v>
      </c>
      <c r="C124" t="s">
        <v>73</v>
      </c>
      <c r="D124">
        <v>3490</v>
      </c>
      <c r="E124" t="s">
        <v>53</v>
      </c>
      <c r="F124" t="s">
        <v>214</v>
      </c>
      <c r="G124" t="s">
        <v>45</v>
      </c>
      <c r="H124" t="s">
        <v>55</v>
      </c>
      <c r="I124" t="s">
        <v>56</v>
      </c>
      <c r="J124" t="s">
        <v>65</v>
      </c>
      <c r="K124" t="s">
        <v>66</v>
      </c>
      <c r="L124">
        <v>3</v>
      </c>
      <c r="M124">
        <v>60</v>
      </c>
      <c r="N124" t="s">
        <v>93</v>
      </c>
      <c r="O124">
        <v>13</v>
      </c>
    </row>
    <row r="125" spans="1:15">
      <c r="A125" s="4">
        <v>45769</v>
      </c>
      <c r="B125" t="s">
        <v>80</v>
      </c>
      <c r="C125" t="s">
        <v>73</v>
      </c>
      <c r="D125">
        <v>3840</v>
      </c>
      <c r="E125" t="s">
        <v>62</v>
      </c>
      <c r="F125" t="s">
        <v>215</v>
      </c>
      <c r="G125" t="s">
        <v>45</v>
      </c>
      <c r="H125" t="s">
        <v>70</v>
      </c>
      <c r="I125" t="s">
        <v>92</v>
      </c>
      <c r="J125" t="s">
        <v>57</v>
      </c>
      <c r="K125" t="s">
        <v>66</v>
      </c>
      <c r="L125">
        <v>5</v>
      </c>
      <c r="M125">
        <v>30</v>
      </c>
      <c r="N125" t="s">
        <v>93</v>
      </c>
      <c r="O125">
        <v>9</v>
      </c>
    </row>
    <row r="126" spans="1:15">
      <c r="A126" s="4">
        <v>45862</v>
      </c>
      <c r="B126" t="s">
        <v>90</v>
      </c>
      <c r="C126" t="s">
        <v>86</v>
      </c>
      <c r="D126">
        <v>3040</v>
      </c>
      <c r="E126" t="s">
        <v>74</v>
      </c>
      <c r="F126" t="s">
        <v>216</v>
      </c>
      <c r="G126" t="s">
        <v>45</v>
      </c>
      <c r="H126" t="s">
        <v>55</v>
      </c>
      <c r="I126" t="s">
        <v>64</v>
      </c>
      <c r="J126" t="s">
        <v>65</v>
      </c>
      <c r="K126" t="s">
        <v>58</v>
      </c>
      <c r="L126">
        <v>1</v>
      </c>
      <c r="M126">
        <v>90</v>
      </c>
      <c r="N126" t="s">
        <v>71</v>
      </c>
      <c r="O126">
        <v>13</v>
      </c>
    </row>
    <row r="127" spans="1:15">
      <c r="A127" s="4">
        <v>45722</v>
      </c>
      <c r="B127" t="s">
        <v>97</v>
      </c>
      <c r="C127" t="s">
        <v>61</v>
      </c>
      <c r="D127">
        <v>4380</v>
      </c>
      <c r="E127" t="s">
        <v>74</v>
      </c>
      <c r="F127" t="s">
        <v>217</v>
      </c>
      <c r="G127" t="s">
        <v>46</v>
      </c>
      <c r="H127" t="s">
        <v>70</v>
      </c>
      <c r="I127" t="s">
        <v>56</v>
      </c>
      <c r="J127" t="s">
        <v>65</v>
      </c>
      <c r="K127" t="s">
        <v>58</v>
      </c>
      <c r="L127">
        <v>3</v>
      </c>
      <c r="M127">
        <v>60</v>
      </c>
      <c r="N127" t="s">
        <v>59</v>
      </c>
      <c r="O127">
        <v>8</v>
      </c>
    </row>
    <row r="128" spans="1:15">
      <c r="A128" s="4">
        <v>45870</v>
      </c>
      <c r="B128" t="s">
        <v>51</v>
      </c>
      <c r="C128" t="s">
        <v>114</v>
      </c>
      <c r="D128">
        <v>820</v>
      </c>
      <c r="E128" t="s">
        <v>53</v>
      </c>
      <c r="F128" t="s">
        <v>218</v>
      </c>
      <c r="G128" t="s">
        <v>45</v>
      </c>
      <c r="H128" t="s">
        <v>55</v>
      </c>
      <c r="I128" t="s">
        <v>64</v>
      </c>
      <c r="J128" t="s">
        <v>57</v>
      </c>
      <c r="K128" t="s">
        <v>58</v>
      </c>
      <c r="L128">
        <v>2</v>
      </c>
      <c r="M128">
        <v>90</v>
      </c>
      <c r="N128" t="s">
        <v>71</v>
      </c>
      <c r="O128">
        <v>18</v>
      </c>
    </row>
    <row r="129" spans="1:15">
      <c r="A129" s="4">
        <v>46019</v>
      </c>
      <c r="B129" t="s">
        <v>85</v>
      </c>
      <c r="C129" t="s">
        <v>73</v>
      </c>
      <c r="D129">
        <v>3970</v>
      </c>
      <c r="E129" t="s">
        <v>74</v>
      </c>
      <c r="F129" t="s">
        <v>219</v>
      </c>
      <c r="G129" t="s">
        <v>45</v>
      </c>
      <c r="H129" t="s">
        <v>70</v>
      </c>
      <c r="I129" t="s">
        <v>79</v>
      </c>
      <c r="J129" t="s">
        <v>57</v>
      </c>
      <c r="K129" t="s">
        <v>66</v>
      </c>
      <c r="L129">
        <v>4</v>
      </c>
      <c r="M129">
        <v>45</v>
      </c>
      <c r="N129" t="s">
        <v>59</v>
      </c>
      <c r="O129">
        <v>12</v>
      </c>
    </row>
    <row r="130" spans="1:15">
      <c r="A130" s="4">
        <v>45943</v>
      </c>
      <c r="B130" t="s">
        <v>51</v>
      </c>
      <c r="C130" t="s">
        <v>77</v>
      </c>
      <c r="D130">
        <v>1030</v>
      </c>
      <c r="E130" t="s">
        <v>74</v>
      </c>
      <c r="F130" t="s">
        <v>220</v>
      </c>
      <c r="G130" t="s">
        <v>46</v>
      </c>
      <c r="H130" t="s">
        <v>70</v>
      </c>
      <c r="I130" t="s">
        <v>88</v>
      </c>
      <c r="J130" t="s">
        <v>57</v>
      </c>
      <c r="K130" t="s">
        <v>76</v>
      </c>
      <c r="L130">
        <v>3</v>
      </c>
      <c r="M130">
        <v>60</v>
      </c>
      <c r="N130" t="s">
        <v>93</v>
      </c>
      <c r="O130">
        <v>7</v>
      </c>
    </row>
    <row r="131" spans="1:15">
      <c r="A131" s="4">
        <v>45892</v>
      </c>
      <c r="B131" t="s">
        <v>85</v>
      </c>
      <c r="C131" t="s">
        <v>98</v>
      </c>
      <c r="D131">
        <v>2730</v>
      </c>
      <c r="E131" t="s">
        <v>74</v>
      </c>
      <c r="F131" t="s">
        <v>221</v>
      </c>
      <c r="G131" t="s">
        <v>46</v>
      </c>
      <c r="H131" t="s">
        <v>70</v>
      </c>
      <c r="I131" t="s">
        <v>64</v>
      </c>
      <c r="J131" t="s">
        <v>57</v>
      </c>
      <c r="K131" t="s">
        <v>76</v>
      </c>
      <c r="L131">
        <v>1</v>
      </c>
      <c r="M131">
        <v>60</v>
      </c>
      <c r="N131" t="s">
        <v>93</v>
      </c>
      <c r="O131">
        <v>20</v>
      </c>
    </row>
    <row r="132" spans="1:15">
      <c r="A132" s="4">
        <v>45924</v>
      </c>
      <c r="B132" t="s">
        <v>101</v>
      </c>
      <c r="C132" t="s">
        <v>52</v>
      </c>
      <c r="D132">
        <v>3390</v>
      </c>
      <c r="E132" t="s">
        <v>74</v>
      </c>
      <c r="F132" t="s">
        <v>222</v>
      </c>
      <c r="G132" t="s">
        <v>45</v>
      </c>
      <c r="H132" t="s">
        <v>55</v>
      </c>
      <c r="I132" t="s">
        <v>84</v>
      </c>
      <c r="J132" t="s">
        <v>65</v>
      </c>
      <c r="K132" t="s">
        <v>66</v>
      </c>
      <c r="L132">
        <v>3</v>
      </c>
      <c r="M132">
        <v>60</v>
      </c>
      <c r="N132" t="s">
        <v>59</v>
      </c>
      <c r="O132">
        <v>6</v>
      </c>
    </row>
    <row r="133" spans="1:15">
      <c r="A133" s="4">
        <v>45666</v>
      </c>
      <c r="B133" t="s">
        <v>85</v>
      </c>
      <c r="C133" t="s">
        <v>86</v>
      </c>
      <c r="D133">
        <v>4550</v>
      </c>
      <c r="E133" t="s">
        <v>74</v>
      </c>
      <c r="F133" t="s">
        <v>223</v>
      </c>
      <c r="G133" t="s">
        <v>45</v>
      </c>
      <c r="H133" t="s">
        <v>55</v>
      </c>
      <c r="I133" t="s">
        <v>64</v>
      </c>
      <c r="J133" t="s">
        <v>65</v>
      </c>
      <c r="K133" t="s">
        <v>76</v>
      </c>
      <c r="L133">
        <v>1</v>
      </c>
      <c r="M133">
        <v>90</v>
      </c>
      <c r="N133" t="s">
        <v>59</v>
      </c>
      <c r="O133">
        <v>19</v>
      </c>
    </row>
    <row r="134" spans="1:15">
      <c r="A134" s="4">
        <v>45737</v>
      </c>
      <c r="B134" t="s">
        <v>67</v>
      </c>
      <c r="C134" t="s">
        <v>86</v>
      </c>
      <c r="D134">
        <v>1740</v>
      </c>
      <c r="E134" t="s">
        <v>62</v>
      </c>
      <c r="F134" t="s">
        <v>224</v>
      </c>
      <c r="G134" t="s">
        <v>46</v>
      </c>
      <c r="H134" t="s">
        <v>70</v>
      </c>
      <c r="I134" t="s">
        <v>88</v>
      </c>
      <c r="J134" t="s">
        <v>65</v>
      </c>
      <c r="K134" t="s">
        <v>58</v>
      </c>
      <c r="L134">
        <v>2</v>
      </c>
      <c r="M134">
        <v>60</v>
      </c>
      <c r="N134" t="s">
        <v>93</v>
      </c>
      <c r="O134">
        <v>15</v>
      </c>
    </row>
    <row r="135" spans="1:15">
      <c r="A135" s="4">
        <v>45895</v>
      </c>
      <c r="B135" t="s">
        <v>51</v>
      </c>
      <c r="C135" t="s">
        <v>98</v>
      </c>
      <c r="D135">
        <v>1110</v>
      </c>
      <c r="E135" t="s">
        <v>53</v>
      </c>
      <c r="F135" t="s">
        <v>225</v>
      </c>
      <c r="G135" t="s">
        <v>46</v>
      </c>
      <c r="H135" t="s">
        <v>70</v>
      </c>
      <c r="I135" t="s">
        <v>64</v>
      </c>
      <c r="J135" t="s">
        <v>65</v>
      </c>
      <c r="K135" t="s">
        <v>66</v>
      </c>
      <c r="L135">
        <v>2</v>
      </c>
      <c r="M135">
        <v>60</v>
      </c>
      <c r="N135" t="s">
        <v>71</v>
      </c>
      <c r="O135">
        <v>9</v>
      </c>
    </row>
    <row r="136" spans="1:15">
      <c r="A136" s="4">
        <v>45848</v>
      </c>
      <c r="B136" t="s">
        <v>94</v>
      </c>
      <c r="C136" t="s">
        <v>68</v>
      </c>
      <c r="D136">
        <v>170</v>
      </c>
      <c r="E136" t="s">
        <v>62</v>
      </c>
      <c r="F136" t="s">
        <v>226</v>
      </c>
      <c r="G136" t="s">
        <v>46</v>
      </c>
      <c r="H136" t="s">
        <v>70</v>
      </c>
      <c r="I136" t="s">
        <v>64</v>
      </c>
      <c r="J136" t="s">
        <v>57</v>
      </c>
      <c r="K136" t="s">
        <v>76</v>
      </c>
      <c r="L136">
        <v>1</v>
      </c>
      <c r="M136">
        <v>45</v>
      </c>
      <c r="N136" t="s">
        <v>59</v>
      </c>
      <c r="O136">
        <v>10</v>
      </c>
    </row>
    <row r="137" spans="1:15">
      <c r="A137" s="4">
        <v>45949</v>
      </c>
      <c r="B137" t="s">
        <v>85</v>
      </c>
      <c r="C137" t="s">
        <v>73</v>
      </c>
      <c r="D137">
        <v>940</v>
      </c>
      <c r="E137" t="s">
        <v>53</v>
      </c>
      <c r="F137" t="s">
        <v>227</v>
      </c>
      <c r="G137" t="s">
        <v>45</v>
      </c>
      <c r="H137" t="s">
        <v>70</v>
      </c>
      <c r="I137" t="s">
        <v>79</v>
      </c>
      <c r="J137" t="s">
        <v>57</v>
      </c>
      <c r="K137" t="s">
        <v>76</v>
      </c>
      <c r="L137">
        <v>5</v>
      </c>
      <c r="M137">
        <v>30</v>
      </c>
      <c r="N137" t="s">
        <v>71</v>
      </c>
      <c r="O137">
        <v>11</v>
      </c>
    </row>
    <row r="138" spans="1:15">
      <c r="A138" s="4">
        <v>45905</v>
      </c>
      <c r="B138" t="s">
        <v>90</v>
      </c>
      <c r="C138" t="s">
        <v>73</v>
      </c>
      <c r="D138">
        <v>4760</v>
      </c>
      <c r="E138" t="s">
        <v>74</v>
      </c>
      <c r="F138" t="s">
        <v>228</v>
      </c>
      <c r="G138" t="s">
        <v>46</v>
      </c>
      <c r="H138" t="s">
        <v>55</v>
      </c>
      <c r="I138" t="s">
        <v>88</v>
      </c>
      <c r="J138" t="s">
        <v>57</v>
      </c>
      <c r="K138" t="s">
        <v>58</v>
      </c>
      <c r="L138">
        <v>1</v>
      </c>
      <c r="M138">
        <v>90</v>
      </c>
      <c r="N138" t="s">
        <v>71</v>
      </c>
      <c r="O138">
        <v>10</v>
      </c>
    </row>
    <row r="139" spans="1:15">
      <c r="A139" s="4">
        <v>45923</v>
      </c>
      <c r="B139" t="s">
        <v>90</v>
      </c>
      <c r="C139" t="s">
        <v>52</v>
      </c>
      <c r="D139">
        <v>3290</v>
      </c>
      <c r="E139" t="s">
        <v>62</v>
      </c>
      <c r="F139" t="s">
        <v>229</v>
      </c>
      <c r="G139" t="s">
        <v>45</v>
      </c>
      <c r="H139" t="s">
        <v>55</v>
      </c>
      <c r="I139" t="s">
        <v>64</v>
      </c>
      <c r="J139" t="s">
        <v>57</v>
      </c>
      <c r="K139" t="s">
        <v>76</v>
      </c>
      <c r="L139">
        <v>3</v>
      </c>
      <c r="M139">
        <v>90</v>
      </c>
      <c r="N139" t="s">
        <v>59</v>
      </c>
      <c r="O139">
        <v>5</v>
      </c>
    </row>
    <row r="140" spans="1:15">
      <c r="A140" s="4">
        <v>45878</v>
      </c>
      <c r="B140" t="s">
        <v>101</v>
      </c>
      <c r="C140" t="s">
        <v>73</v>
      </c>
      <c r="D140">
        <v>1820</v>
      </c>
      <c r="E140" t="s">
        <v>62</v>
      </c>
      <c r="F140" t="s">
        <v>230</v>
      </c>
      <c r="G140" t="s">
        <v>45</v>
      </c>
      <c r="H140" t="s">
        <v>70</v>
      </c>
      <c r="I140" t="s">
        <v>56</v>
      </c>
      <c r="J140" t="s">
        <v>65</v>
      </c>
      <c r="K140" t="s">
        <v>76</v>
      </c>
      <c r="L140">
        <v>3</v>
      </c>
      <c r="M140">
        <v>30</v>
      </c>
      <c r="N140" t="s">
        <v>93</v>
      </c>
      <c r="O140">
        <v>13</v>
      </c>
    </row>
    <row r="141" spans="1:15">
      <c r="A141" s="4">
        <v>45847</v>
      </c>
      <c r="B141" t="s">
        <v>85</v>
      </c>
      <c r="C141" t="s">
        <v>68</v>
      </c>
      <c r="D141">
        <v>2170</v>
      </c>
      <c r="E141" t="s">
        <v>74</v>
      </c>
      <c r="F141" t="s">
        <v>231</v>
      </c>
      <c r="G141" t="s">
        <v>46</v>
      </c>
      <c r="H141" t="s">
        <v>70</v>
      </c>
      <c r="I141" t="s">
        <v>64</v>
      </c>
      <c r="J141" t="s">
        <v>65</v>
      </c>
      <c r="K141" t="s">
        <v>58</v>
      </c>
      <c r="L141">
        <v>1</v>
      </c>
      <c r="M141">
        <v>60</v>
      </c>
      <c r="N141" t="s">
        <v>59</v>
      </c>
      <c r="O141">
        <v>3</v>
      </c>
    </row>
    <row r="142" spans="1:15">
      <c r="A142" s="4">
        <v>45688</v>
      </c>
      <c r="B142" t="s">
        <v>101</v>
      </c>
      <c r="C142" t="s">
        <v>81</v>
      </c>
      <c r="D142">
        <v>2280</v>
      </c>
      <c r="E142" t="s">
        <v>62</v>
      </c>
      <c r="F142" t="s">
        <v>232</v>
      </c>
      <c r="G142" t="s">
        <v>46</v>
      </c>
      <c r="H142" t="s">
        <v>55</v>
      </c>
      <c r="I142" t="s">
        <v>84</v>
      </c>
      <c r="J142" t="s">
        <v>57</v>
      </c>
      <c r="K142" t="s">
        <v>58</v>
      </c>
      <c r="L142">
        <v>2</v>
      </c>
      <c r="M142">
        <v>45</v>
      </c>
      <c r="N142" t="s">
        <v>93</v>
      </c>
      <c r="O142">
        <v>6</v>
      </c>
    </row>
    <row r="143" spans="1:15">
      <c r="A143" s="4">
        <v>45799</v>
      </c>
      <c r="B143" t="s">
        <v>116</v>
      </c>
      <c r="C143" t="s">
        <v>114</v>
      </c>
      <c r="D143">
        <v>2050</v>
      </c>
      <c r="E143" t="s">
        <v>53</v>
      </c>
      <c r="F143" t="s">
        <v>233</v>
      </c>
      <c r="G143" t="s">
        <v>46</v>
      </c>
      <c r="H143" t="s">
        <v>55</v>
      </c>
      <c r="I143" t="s">
        <v>88</v>
      </c>
      <c r="J143" t="s">
        <v>65</v>
      </c>
      <c r="K143" t="s">
        <v>58</v>
      </c>
      <c r="L143">
        <v>4</v>
      </c>
      <c r="M143">
        <v>45</v>
      </c>
      <c r="N143" t="s">
        <v>71</v>
      </c>
      <c r="O143">
        <v>16</v>
      </c>
    </row>
    <row r="144" spans="1:15">
      <c r="A144" s="4">
        <v>46009</v>
      </c>
      <c r="B144" t="s">
        <v>72</v>
      </c>
      <c r="C144" t="s">
        <v>81</v>
      </c>
      <c r="D144">
        <v>1420</v>
      </c>
      <c r="E144" t="s">
        <v>74</v>
      </c>
      <c r="F144" t="s">
        <v>234</v>
      </c>
      <c r="G144" t="s">
        <v>45</v>
      </c>
      <c r="H144" t="s">
        <v>55</v>
      </c>
      <c r="I144" t="s">
        <v>79</v>
      </c>
      <c r="J144" t="s">
        <v>65</v>
      </c>
      <c r="K144" t="s">
        <v>66</v>
      </c>
      <c r="L144">
        <v>2</v>
      </c>
      <c r="M144">
        <v>60</v>
      </c>
      <c r="N144" t="s">
        <v>93</v>
      </c>
      <c r="O144">
        <v>8</v>
      </c>
    </row>
    <row r="145" spans="1:15">
      <c r="A145" s="4">
        <v>45936</v>
      </c>
      <c r="B145" t="s">
        <v>109</v>
      </c>
      <c r="C145" t="s">
        <v>81</v>
      </c>
      <c r="D145">
        <v>4170</v>
      </c>
      <c r="E145" t="s">
        <v>53</v>
      </c>
      <c r="F145" t="s">
        <v>235</v>
      </c>
      <c r="G145" t="s">
        <v>46</v>
      </c>
      <c r="H145" t="s">
        <v>70</v>
      </c>
      <c r="I145" t="s">
        <v>79</v>
      </c>
      <c r="J145" t="s">
        <v>57</v>
      </c>
      <c r="K145" t="s">
        <v>66</v>
      </c>
      <c r="L145">
        <v>3</v>
      </c>
      <c r="M145">
        <v>30</v>
      </c>
      <c r="N145" t="s">
        <v>71</v>
      </c>
      <c r="O145">
        <v>11</v>
      </c>
    </row>
    <row r="146" spans="1:15">
      <c r="A146" s="4">
        <v>45806</v>
      </c>
      <c r="B146" t="s">
        <v>85</v>
      </c>
      <c r="C146" t="s">
        <v>77</v>
      </c>
      <c r="D146">
        <v>1760</v>
      </c>
      <c r="E146" t="s">
        <v>74</v>
      </c>
      <c r="F146" t="s">
        <v>236</v>
      </c>
      <c r="G146" t="s">
        <v>46</v>
      </c>
      <c r="H146" t="s">
        <v>55</v>
      </c>
      <c r="I146" t="s">
        <v>79</v>
      </c>
      <c r="J146" t="s">
        <v>57</v>
      </c>
      <c r="K146" t="s">
        <v>58</v>
      </c>
      <c r="L146">
        <v>3</v>
      </c>
      <c r="M146">
        <v>60</v>
      </c>
      <c r="N146" t="s">
        <v>71</v>
      </c>
      <c r="O146">
        <v>16</v>
      </c>
    </row>
    <row r="147" spans="1:15">
      <c r="A147" s="4">
        <v>45735</v>
      </c>
      <c r="B147" t="s">
        <v>80</v>
      </c>
      <c r="C147" t="s">
        <v>73</v>
      </c>
      <c r="D147">
        <v>1630</v>
      </c>
      <c r="E147" t="s">
        <v>53</v>
      </c>
      <c r="F147" t="s">
        <v>237</v>
      </c>
      <c r="G147" t="s">
        <v>46</v>
      </c>
      <c r="H147" t="s">
        <v>55</v>
      </c>
      <c r="I147" t="s">
        <v>79</v>
      </c>
      <c r="J147" t="s">
        <v>57</v>
      </c>
      <c r="K147" t="s">
        <v>76</v>
      </c>
      <c r="L147">
        <v>4</v>
      </c>
      <c r="M147">
        <v>30</v>
      </c>
      <c r="N147" t="s">
        <v>59</v>
      </c>
      <c r="O147">
        <v>9</v>
      </c>
    </row>
    <row r="148" spans="1:15">
      <c r="A148" s="4">
        <v>45758</v>
      </c>
      <c r="B148" t="s">
        <v>97</v>
      </c>
      <c r="C148" t="s">
        <v>86</v>
      </c>
      <c r="D148">
        <v>2200</v>
      </c>
      <c r="E148" t="s">
        <v>53</v>
      </c>
      <c r="F148" t="s">
        <v>238</v>
      </c>
      <c r="G148" t="s">
        <v>45</v>
      </c>
      <c r="H148" t="s">
        <v>70</v>
      </c>
      <c r="I148" t="s">
        <v>88</v>
      </c>
      <c r="J148" t="s">
        <v>57</v>
      </c>
      <c r="K148" t="s">
        <v>66</v>
      </c>
      <c r="L148">
        <v>2</v>
      </c>
      <c r="M148">
        <v>90</v>
      </c>
      <c r="N148" t="s">
        <v>71</v>
      </c>
      <c r="O148">
        <v>6</v>
      </c>
    </row>
    <row r="149" spans="1:15">
      <c r="A149" s="4">
        <v>45682</v>
      </c>
      <c r="B149" t="s">
        <v>67</v>
      </c>
      <c r="C149" t="s">
        <v>68</v>
      </c>
      <c r="D149">
        <v>150</v>
      </c>
      <c r="E149" t="s">
        <v>74</v>
      </c>
      <c r="F149" t="s">
        <v>239</v>
      </c>
      <c r="G149" t="s">
        <v>46</v>
      </c>
      <c r="H149" t="s">
        <v>55</v>
      </c>
      <c r="I149" t="s">
        <v>84</v>
      </c>
      <c r="J149" t="s">
        <v>57</v>
      </c>
      <c r="K149" t="s">
        <v>76</v>
      </c>
      <c r="L149">
        <v>4</v>
      </c>
      <c r="M149">
        <v>90</v>
      </c>
      <c r="N149" t="s">
        <v>71</v>
      </c>
      <c r="O149">
        <v>7</v>
      </c>
    </row>
    <row r="150" spans="1:15">
      <c r="A150" s="4">
        <v>45742</v>
      </c>
      <c r="B150" t="s">
        <v>109</v>
      </c>
      <c r="C150" t="s">
        <v>61</v>
      </c>
      <c r="D150">
        <v>3350</v>
      </c>
      <c r="E150" t="s">
        <v>53</v>
      </c>
      <c r="F150" t="s">
        <v>240</v>
      </c>
      <c r="G150" t="s">
        <v>45</v>
      </c>
      <c r="H150" t="s">
        <v>70</v>
      </c>
      <c r="I150" t="s">
        <v>64</v>
      </c>
      <c r="J150" t="s">
        <v>65</v>
      </c>
      <c r="K150" t="s">
        <v>66</v>
      </c>
      <c r="L150">
        <v>5</v>
      </c>
      <c r="M150">
        <v>60</v>
      </c>
      <c r="N150" t="s">
        <v>93</v>
      </c>
      <c r="O150">
        <v>17</v>
      </c>
    </row>
    <row r="151" spans="1:15">
      <c r="A151" s="4">
        <v>45697</v>
      </c>
      <c r="B151" t="s">
        <v>90</v>
      </c>
      <c r="C151" t="s">
        <v>77</v>
      </c>
      <c r="D151">
        <v>430</v>
      </c>
      <c r="E151" t="s">
        <v>62</v>
      </c>
      <c r="F151" t="s">
        <v>241</v>
      </c>
      <c r="G151" t="s">
        <v>46</v>
      </c>
      <c r="H151" t="s">
        <v>70</v>
      </c>
      <c r="I151" t="s">
        <v>88</v>
      </c>
      <c r="J151" t="s">
        <v>57</v>
      </c>
      <c r="K151" t="s">
        <v>66</v>
      </c>
      <c r="L151">
        <v>1</v>
      </c>
      <c r="M151">
        <v>90</v>
      </c>
      <c r="N151" t="s">
        <v>59</v>
      </c>
      <c r="O151">
        <v>20</v>
      </c>
    </row>
    <row r="152" spans="1:15">
      <c r="A152" s="4">
        <v>45879</v>
      </c>
      <c r="B152" t="s">
        <v>51</v>
      </c>
      <c r="C152" t="s">
        <v>81</v>
      </c>
      <c r="D152">
        <v>2130</v>
      </c>
      <c r="E152" t="s">
        <v>74</v>
      </c>
      <c r="F152" t="s">
        <v>242</v>
      </c>
      <c r="G152" t="s">
        <v>46</v>
      </c>
      <c r="H152" t="s">
        <v>70</v>
      </c>
      <c r="I152" t="s">
        <v>92</v>
      </c>
      <c r="J152" t="s">
        <v>57</v>
      </c>
      <c r="K152" t="s">
        <v>76</v>
      </c>
      <c r="L152">
        <v>3</v>
      </c>
      <c r="M152">
        <v>60</v>
      </c>
      <c r="N152" t="s">
        <v>93</v>
      </c>
      <c r="O152">
        <v>8</v>
      </c>
    </row>
    <row r="153" spans="1:15">
      <c r="A153" s="4">
        <v>45705</v>
      </c>
      <c r="B153" t="s">
        <v>94</v>
      </c>
      <c r="C153" t="s">
        <v>52</v>
      </c>
      <c r="D153">
        <v>900</v>
      </c>
      <c r="E153" t="s">
        <v>53</v>
      </c>
      <c r="F153" t="s">
        <v>243</v>
      </c>
      <c r="G153" t="s">
        <v>45</v>
      </c>
      <c r="H153" t="s">
        <v>55</v>
      </c>
      <c r="I153" t="s">
        <v>64</v>
      </c>
      <c r="J153" t="s">
        <v>65</v>
      </c>
      <c r="K153" t="s">
        <v>66</v>
      </c>
      <c r="L153">
        <v>2</v>
      </c>
      <c r="M153">
        <v>60</v>
      </c>
      <c r="N153" t="s">
        <v>71</v>
      </c>
      <c r="O153">
        <v>12</v>
      </c>
    </row>
    <row r="154" spans="1:15">
      <c r="A154" s="4">
        <v>45727</v>
      </c>
      <c r="B154" t="s">
        <v>101</v>
      </c>
      <c r="C154" t="s">
        <v>95</v>
      </c>
      <c r="D154">
        <v>4040</v>
      </c>
      <c r="E154" t="s">
        <v>62</v>
      </c>
      <c r="F154" t="s">
        <v>244</v>
      </c>
      <c r="G154" t="s">
        <v>45</v>
      </c>
      <c r="H154" t="s">
        <v>70</v>
      </c>
      <c r="I154" t="s">
        <v>92</v>
      </c>
      <c r="J154" t="s">
        <v>57</v>
      </c>
      <c r="K154" t="s">
        <v>66</v>
      </c>
      <c r="L154">
        <v>3</v>
      </c>
      <c r="M154">
        <v>60</v>
      </c>
      <c r="N154" t="s">
        <v>59</v>
      </c>
      <c r="O154">
        <v>10</v>
      </c>
    </row>
    <row r="155" spans="1:15">
      <c r="A155" s="4">
        <v>45744</v>
      </c>
      <c r="B155" t="s">
        <v>101</v>
      </c>
      <c r="C155" t="s">
        <v>98</v>
      </c>
      <c r="D155">
        <v>1850</v>
      </c>
      <c r="E155" t="s">
        <v>74</v>
      </c>
      <c r="F155" t="s">
        <v>245</v>
      </c>
      <c r="G155" t="s">
        <v>46</v>
      </c>
      <c r="H155" t="s">
        <v>70</v>
      </c>
      <c r="I155" t="s">
        <v>56</v>
      </c>
      <c r="J155" t="s">
        <v>57</v>
      </c>
      <c r="K155" t="s">
        <v>58</v>
      </c>
      <c r="L155">
        <v>4</v>
      </c>
      <c r="M155">
        <v>30</v>
      </c>
      <c r="N155" t="s">
        <v>93</v>
      </c>
      <c r="O155">
        <v>19</v>
      </c>
    </row>
    <row r="156" spans="1:15">
      <c r="A156" s="4">
        <v>45910</v>
      </c>
      <c r="B156" t="s">
        <v>101</v>
      </c>
      <c r="C156" t="s">
        <v>73</v>
      </c>
      <c r="D156">
        <v>2910</v>
      </c>
      <c r="E156" t="s">
        <v>62</v>
      </c>
      <c r="F156" t="s">
        <v>246</v>
      </c>
      <c r="G156" t="s">
        <v>45</v>
      </c>
      <c r="H156" t="s">
        <v>70</v>
      </c>
      <c r="I156" t="s">
        <v>79</v>
      </c>
      <c r="J156" t="s">
        <v>57</v>
      </c>
      <c r="K156" t="s">
        <v>76</v>
      </c>
      <c r="L156">
        <v>3</v>
      </c>
      <c r="M156">
        <v>90</v>
      </c>
      <c r="N156" t="s">
        <v>93</v>
      </c>
      <c r="O156">
        <v>11</v>
      </c>
    </row>
    <row r="157" spans="1:15">
      <c r="A157" s="4">
        <v>45959</v>
      </c>
      <c r="B157" t="s">
        <v>94</v>
      </c>
      <c r="C157" t="s">
        <v>114</v>
      </c>
      <c r="D157">
        <v>2330</v>
      </c>
      <c r="E157" t="s">
        <v>53</v>
      </c>
      <c r="F157" t="s">
        <v>247</v>
      </c>
      <c r="G157" t="s">
        <v>46</v>
      </c>
      <c r="H157" t="s">
        <v>55</v>
      </c>
      <c r="I157" t="s">
        <v>88</v>
      </c>
      <c r="J157" t="s">
        <v>57</v>
      </c>
      <c r="K157" t="s">
        <v>66</v>
      </c>
      <c r="L157">
        <v>2</v>
      </c>
      <c r="M157">
        <v>45</v>
      </c>
      <c r="N157" t="s">
        <v>93</v>
      </c>
      <c r="O157">
        <v>13</v>
      </c>
    </row>
    <row r="158" spans="1:15">
      <c r="A158" s="4">
        <v>45884</v>
      </c>
      <c r="B158" t="s">
        <v>67</v>
      </c>
      <c r="C158" t="s">
        <v>77</v>
      </c>
      <c r="D158">
        <v>430</v>
      </c>
      <c r="E158" t="s">
        <v>62</v>
      </c>
      <c r="F158" t="s">
        <v>248</v>
      </c>
      <c r="G158" t="s">
        <v>46</v>
      </c>
      <c r="H158" t="s">
        <v>55</v>
      </c>
      <c r="I158" t="s">
        <v>92</v>
      </c>
      <c r="J158" t="s">
        <v>57</v>
      </c>
      <c r="K158" t="s">
        <v>76</v>
      </c>
      <c r="L158">
        <v>1</v>
      </c>
      <c r="M158">
        <v>60</v>
      </c>
      <c r="N158" t="s">
        <v>93</v>
      </c>
      <c r="O158">
        <v>6</v>
      </c>
    </row>
    <row r="159" spans="1:15">
      <c r="A159" s="4">
        <v>45799</v>
      </c>
      <c r="B159" t="s">
        <v>109</v>
      </c>
      <c r="C159" t="s">
        <v>98</v>
      </c>
      <c r="D159">
        <v>1930</v>
      </c>
      <c r="E159" t="s">
        <v>62</v>
      </c>
      <c r="F159" t="s">
        <v>249</v>
      </c>
      <c r="G159" t="s">
        <v>46</v>
      </c>
      <c r="H159" t="s">
        <v>70</v>
      </c>
      <c r="I159" t="s">
        <v>64</v>
      </c>
      <c r="J159" t="s">
        <v>57</v>
      </c>
      <c r="K159" t="s">
        <v>66</v>
      </c>
      <c r="L159">
        <v>4</v>
      </c>
      <c r="M159">
        <v>30</v>
      </c>
      <c r="N159" t="s">
        <v>71</v>
      </c>
      <c r="O159">
        <v>20</v>
      </c>
    </row>
    <row r="160" spans="1:15">
      <c r="A160" s="4">
        <v>45691</v>
      </c>
      <c r="B160" t="s">
        <v>97</v>
      </c>
      <c r="C160" t="s">
        <v>81</v>
      </c>
      <c r="D160">
        <v>3870</v>
      </c>
      <c r="E160" t="s">
        <v>53</v>
      </c>
      <c r="F160" t="s">
        <v>250</v>
      </c>
      <c r="G160" t="s">
        <v>45</v>
      </c>
      <c r="H160" t="s">
        <v>55</v>
      </c>
      <c r="I160" t="s">
        <v>64</v>
      </c>
      <c r="J160" t="s">
        <v>65</v>
      </c>
      <c r="K160" t="s">
        <v>66</v>
      </c>
      <c r="L160">
        <v>1</v>
      </c>
      <c r="M160">
        <v>90</v>
      </c>
      <c r="N160" t="s">
        <v>71</v>
      </c>
      <c r="O160">
        <v>8</v>
      </c>
    </row>
    <row r="161" spans="1:15">
      <c r="A161" s="4">
        <v>45881</v>
      </c>
      <c r="B161" t="s">
        <v>90</v>
      </c>
      <c r="C161" t="s">
        <v>77</v>
      </c>
      <c r="D161">
        <v>3380</v>
      </c>
      <c r="E161" t="s">
        <v>62</v>
      </c>
      <c r="F161" t="s">
        <v>251</v>
      </c>
      <c r="G161" t="s">
        <v>46</v>
      </c>
      <c r="H161" t="s">
        <v>55</v>
      </c>
      <c r="I161" t="s">
        <v>79</v>
      </c>
      <c r="J161" t="s">
        <v>57</v>
      </c>
      <c r="K161" t="s">
        <v>58</v>
      </c>
      <c r="L161">
        <v>4</v>
      </c>
      <c r="M161">
        <v>45</v>
      </c>
      <c r="N161" t="s">
        <v>93</v>
      </c>
      <c r="O161">
        <v>10</v>
      </c>
    </row>
    <row r="162" spans="1:15">
      <c r="A162" s="4">
        <v>45917</v>
      </c>
      <c r="B162" t="s">
        <v>101</v>
      </c>
      <c r="C162" t="s">
        <v>81</v>
      </c>
      <c r="D162">
        <v>1440</v>
      </c>
      <c r="E162" t="s">
        <v>53</v>
      </c>
      <c r="F162" t="s">
        <v>252</v>
      </c>
      <c r="G162" t="s">
        <v>45</v>
      </c>
      <c r="H162" t="s">
        <v>70</v>
      </c>
      <c r="I162" t="s">
        <v>64</v>
      </c>
      <c r="J162" t="s">
        <v>57</v>
      </c>
      <c r="K162" t="s">
        <v>76</v>
      </c>
      <c r="L162">
        <v>5</v>
      </c>
      <c r="M162">
        <v>30</v>
      </c>
      <c r="N162" t="s">
        <v>71</v>
      </c>
      <c r="O162">
        <v>13</v>
      </c>
    </row>
    <row r="163" spans="1:15">
      <c r="A163" s="4">
        <v>45785</v>
      </c>
      <c r="B163" t="s">
        <v>97</v>
      </c>
      <c r="C163" t="s">
        <v>77</v>
      </c>
      <c r="D163">
        <v>2550</v>
      </c>
      <c r="E163" t="s">
        <v>62</v>
      </c>
      <c r="F163" t="s">
        <v>253</v>
      </c>
      <c r="G163" t="s">
        <v>46</v>
      </c>
      <c r="H163" t="s">
        <v>70</v>
      </c>
      <c r="I163" t="s">
        <v>79</v>
      </c>
      <c r="J163" t="s">
        <v>65</v>
      </c>
      <c r="K163" t="s">
        <v>58</v>
      </c>
      <c r="L163">
        <v>3</v>
      </c>
      <c r="M163">
        <v>30</v>
      </c>
      <c r="N163" t="s">
        <v>93</v>
      </c>
      <c r="O163">
        <v>4</v>
      </c>
    </row>
    <row r="164" spans="1:15">
      <c r="A164" s="4">
        <v>45669</v>
      </c>
      <c r="B164" t="s">
        <v>97</v>
      </c>
      <c r="C164" t="s">
        <v>86</v>
      </c>
      <c r="D164">
        <v>800</v>
      </c>
      <c r="E164" t="s">
        <v>53</v>
      </c>
      <c r="F164" t="s">
        <v>254</v>
      </c>
      <c r="G164" t="s">
        <v>46</v>
      </c>
      <c r="H164" t="s">
        <v>55</v>
      </c>
      <c r="I164" t="s">
        <v>92</v>
      </c>
      <c r="J164" t="s">
        <v>57</v>
      </c>
      <c r="K164" t="s">
        <v>66</v>
      </c>
      <c r="L164">
        <v>3</v>
      </c>
      <c r="M164">
        <v>45</v>
      </c>
      <c r="N164" t="s">
        <v>93</v>
      </c>
      <c r="O164">
        <v>13</v>
      </c>
    </row>
    <row r="165" spans="1:15">
      <c r="A165" s="4">
        <v>45976</v>
      </c>
      <c r="B165" t="s">
        <v>72</v>
      </c>
      <c r="C165" t="s">
        <v>68</v>
      </c>
      <c r="D165">
        <v>900</v>
      </c>
      <c r="E165" t="s">
        <v>74</v>
      </c>
      <c r="F165" t="s">
        <v>255</v>
      </c>
      <c r="G165" t="s">
        <v>45</v>
      </c>
      <c r="H165" t="s">
        <v>55</v>
      </c>
      <c r="I165" t="s">
        <v>84</v>
      </c>
      <c r="J165" t="s">
        <v>57</v>
      </c>
      <c r="K165" t="s">
        <v>66</v>
      </c>
      <c r="L165">
        <v>2</v>
      </c>
      <c r="M165">
        <v>45</v>
      </c>
      <c r="N165" t="s">
        <v>59</v>
      </c>
      <c r="O165">
        <v>3</v>
      </c>
    </row>
    <row r="166" spans="1:15">
      <c r="A166" s="4">
        <v>45808</v>
      </c>
      <c r="B166" t="s">
        <v>51</v>
      </c>
      <c r="C166" t="s">
        <v>68</v>
      </c>
      <c r="D166">
        <v>590</v>
      </c>
      <c r="E166" t="s">
        <v>62</v>
      </c>
      <c r="F166" t="s">
        <v>256</v>
      </c>
      <c r="G166" t="s">
        <v>46</v>
      </c>
      <c r="H166" t="s">
        <v>70</v>
      </c>
      <c r="I166" t="s">
        <v>64</v>
      </c>
      <c r="J166" t="s">
        <v>65</v>
      </c>
      <c r="K166" t="s">
        <v>66</v>
      </c>
      <c r="L166">
        <v>4</v>
      </c>
      <c r="M166">
        <v>30</v>
      </c>
      <c r="N166" t="s">
        <v>71</v>
      </c>
      <c r="O166">
        <v>20</v>
      </c>
    </row>
    <row r="167" spans="1:15">
      <c r="A167" s="4">
        <v>45852</v>
      </c>
      <c r="B167" t="s">
        <v>72</v>
      </c>
      <c r="C167" t="s">
        <v>73</v>
      </c>
      <c r="D167">
        <v>4060</v>
      </c>
      <c r="E167" t="s">
        <v>53</v>
      </c>
      <c r="F167" t="s">
        <v>257</v>
      </c>
      <c r="G167" t="s">
        <v>45</v>
      </c>
      <c r="H167" t="s">
        <v>55</v>
      </c>
      <c r="I167" t="s">
        <v>88</v>
      </c>
      <c r="J167" t="s">
        <v>57</v>
      </c>
      <c r="K167" t="s">
        <v>66</v>
      </c>
      <c r="L167">
        <v>5</v>
      </c>
      <c r="M167">
        <v>30</v>
      </c>
      <c r="N167" t="s">
        <v>93</v>
      </c>
      <c r="O167">
        <v>11</v>
      </c>
    </row>
    <row r="168" spans="1:15">
      <c r="A168" s="4">
        <v>45824</v>
      </c>
      <c r="B168" t="s">
        <v>51</v>
      </c>
      <c r="C168" t="s">
        <v>114</v>
      </c>
      <c r="D168">
        <v>1130</v>
      </c>
      <c r="E168" t="s">
        <v>62</v>
      </c>
      <c r="F168" t="s">
        <v>258</v>
      </c>
      <c r="G168" t="s">
        <v>45</v>
      </c>
      <c r="H168" t="s">
        <v>55</v>
      </c>
      <c r="I168" t="s">
        <v>56</v>
      </c>
      <c r="J168" t="s">
        <v>65</v>
      </c>
      <c r="K168" t="s">
        <v>58</v>
      </c>
      <c r="L168">
        <v>2</v>
      </c>
      <c r="M168">
        <v>60</v>
      </c>
      <c r="N168" t="s">
        <v>71</v>
      </c>
      <c r="O168">
        <v>7</v>
      </c>
    </row>
    <row r="169" spans="1:15">
      <c r="A169" s="4">
        <v>45948</v>
      </c>
      <c r="B169" t="s">
        <v>101</v>
      </c>
      <c r="C169" t="s">
        <v>95</v>
      </c>
      <c r="D169">
        <v>2480</v>
      </c>
      <c r="E169" t="s">
        <v>74</v>
      </c>
      <c r="F169" t="s">
        <v>259</v>
      </c>
      <c r="G169" t="s">
        <v>45</v>
      </c>
      <c r="H169" t="s">
        <v>70</v>
      </c>
      <c r="I169" t="s">
        <v>84</v>
      </c>
      <c r="J169" t="s">
        <v>57</v>
      </c>
      <c r="K169" t="s">
        <v>76</v>
      </c>
      <c r="L169">
        <v>4</v>
      </c>
      <c r="M169">
        <v>90</v>
      </c>
      <c r="N169" t="s">
        <v>93</v>
      </c>
      <c r="O169">
        <v>13</v>
      </c>
    </row>
    <row r="170" spans="1:15">
      <c r="A170" s="4">
        <v>45960</v>
      </c>
      <c r="B170" t="s">
        <v>97</v>
      </c>
      <c r="C170" t="s">
        <v>68</v>
      </c>
      <c r="D170">
        <v>3150</v>
      </c>
      <c r="E170" t="s">
        <v>74</v>
      </c>
      <c r="F170" t="s">
        <v>260</v>
      </c>
      <c r="G170" t="s">
        <v>45</v>
      </c>
      <c r="H170" t="s">
        <v>55</v>
      </c>
      <c r="I170" t="s">
        <v>79</v>
      </c>
      <c r="J170" t="s">
        <v>65</v>
      </c>
      <c r="K170" t="s">
        <v>66</v>
      </c>
      <c r="L170">
        <v>3</v>
      </c>
      <c r="M170">
        <v>30</v>
      </c>
      <c r="N170" t="s">
        <v>59</v>
      </c>
      <c r="O170">
        <v>3</v>
      </c>
    </row>
    <row r="171" spans="1:15">
      <c r="A171" s="4">
        <v>45905</v>
      </c>
      <c r="B171" t="s">
        <v>90</v>
      </c>
      <c r="C171" t="s">
        <v>81</v>
      </c>
      <c r="D171">
        <v>3920</v>
      </c>
      <c r="E171" t="s">
        <v>74</v>
      </c>
      <c r="F171" t="s">
        <v>261</v>
      </c>
      <c r="G171" t="s">
        <v>46</v>
      </c>
      <c r="H171" t="s">
        <v>70</v>
      </c>
      <c r="I171" t="s">
        <v>56</v>
      </c>
      <c r="J171" t="s">
        <v>65</v>
      </c>
      <c r="K171" t="s">
        <v>76</v>
      </c>
      <c r="L171">
        <v>3</v>
      </c>
      <c r="M171">
        <v>90</v>
      </c>
      <c r="N171" t="s">
        <v>59</v>
      </c>
      <c r="O171">
        <v>3</v>
      </c>
    </row>
    <row r="172" spans="1:15">
      <c r="A172" s="4">
        <v>45746</v>
      </c>
      <c r="B172" t="s">
        <v>85</v>
      </c>
      <c r="C172" t="s">
        <v>61</v>
      </c>
      <c r="D172">
        <v>3060</v>
      </c>
      <c r="E172" t="s">
        <v>53</v>
      </c>
      <c r="F172" t="s">
        <v>262</v>
      </c>
      <c r="G172" t="s">
        <v>45</v>
      </c>
      <c r="H172" t="s">
        <v>70</v>
      </c>
      <c r="I172" t="s">
        <v>56</v>
      </c>
      <c r="J172" t="s">
        <v>65</v>
      </c>
      <c r="K172" t="s">
        <v>58</v>
      </c>
      <c r="L172">
        <v>3</v>
      </c>
      <c r="M172">
        <v>60</v>
      </c>
      <c r="N172" t="s">
        <v>59</v>
      </c>
      <c r="O172">
        <v>4</v>
      </c>
    </row>
    <row r="173" spans="1:15">
      <c r="A173" s="4">
        <v>45984</v>
      </c>
      <c r="B173" t="s">
        <v>97</v>
      </c>
      <c r="C173" t="s">
        <v>86</v>
      </c>
      <c r="D173">
        <v>1600</v>
      </c>
      <c r="E173" t="s">
        <v>74</v>
      </c>
      <c r="F173" t="s">
        <v>263</v>
      </c>
      <c r="G173" t="s">
        <v>45</v>
      </c>
      <c r="H173" t="s">
        <v>70</v>
      </c>
      <c r="I173" t="s">
        <v>88</v>
      </c>
      <c r="J173" t="s">
        <v>65</v>
      </c>
      <c r="K173" t="s">
        <v>66</v>
      </c>
      <c r="L173">
        <v>4</v>
      </c>
      <c r="M173">
        <v>45</v>
      </c>
      <c r="N173" t="s">
        <v>93</v>
      </c>
      <c r="O173">
        <v>5</v>
      </c>
    </row>
    <row r="174" spans="1:15">
      <c r="A174" s="4">
        <v>45667</v>
      </c>
      <c r="B174" t="s">
        <v>72</v>
      </c>
      <c r="C174" t="s">
        <v>98</v>
      </c>
      <c r="D174">
        <v>4540</v>
      </c>
      <c r="E174" t="s">
        <v>53</v>
      </c>
      <c r="F174" t="s">
        <v>264</v>
      </c>
      <c r="G174" t="s">
        <v>45</v>
      </c>
      <c r="H174" t="s">
        <v>70</v>
      </c>
      <c r="I174" t="s">
        <v>56</v>
      </c>
      <c r="J174" t="s">
        <v>65</v>
      </c>
      <c r="K174" t="s">
        <v>58</v>
      </c>
      <c r="L174">
        <v>1</v>
      </c>
      <c r="M174">
        <v>45</v>
      </c>
      <c r="N174" t="s">
        <v>71</v>
      </c>
      <c r="O174">
        <v>14</v>
      </c>
    </row>
    <row r="175" spans="1:15">
      <c r="A175" s="4">
        <v>45910</v>
      </c>
      <c r="B175" t="s">
        <v>90</v>
      </c>
      <c r="C175" t="s">
        <v>81</v>
      </c>
      <c r="D175">
        <v>1380</v>
      </c>
      <c r="E175" t="s">
        <v>62</v>
      </c>
      <c r="F175" t="s">
        <v>265</v>
      </c>
      <c r="G175" t="s">
        <v>46</v>
      </c>
      <c r="H175" t="s">
        <v>70</v>
      </c>
      <c r="I175" t="s">
        <v>64</v>
      </c>
      <c r="J175" t="s">
        <v>57</v>
      </c>
      <c r="K175" t="s">
        <v>58</v>
      </c>
      <c r="L175">
        <v>5</v>
      </c>
      <c r="M175">
        <v>90</v>
      </c>
      <c r="N175" t="s">
        <v>71</v>
      </c>
      <c r="O175">
        <v>18</v>
      </c>
    </row>
    <row r="176" spans="1:15">
      <c r="A176" s="4">
        <v>45851</v>
      </c>
      <c r="B176" t="s">
        <v>80</v>
      </c>
      <c r="C176" t="s">
        <v>86</v>
      </c>
      <c r="D176">
        <v>4410</v>
      </c>
      <c r="E176" t="s">
        <v>62</v>
      </c>
      <c r="F176" t="s">
        <v>266</v>
      </c>
      <c r="G176" t="s">
        <v>46</v>
      </c>
      <c r="H176" t="s">
        <v>70</v>
      </c>
      <c r="I176" t="s">
        <v>88</v>
      </c>
      <c r="J176" t="s">
        <v>57</v>
      </c>
      <c r="K176" t="s">
        <v>66</v>
      </c>
      <c r="L176">
        <v>3</v>
      </c>
      <c r="M176">
        <v>45</v>
      </c>
      <c r="N176" t="s">
        <v>71</v>
      </c>
      <c r="O176">
        <v>5</v>
      </c>
    </row>
    <row r="177" spans="1:15">
      <c r="A177" s="4">
        <v>45958</v>
      </c>
      <c r="B177" t="s">
        <v>90</v>
      </c>
      <c r="C177" t="s">
        <v>95</v>
      </c>
      <c r="D177">
        <v>1910</v>
      </c>
      <c r="E177" t="s">
        <v>53</v>
      </c>
      <c r="F177" t="s">
        <v>267</v>
      </c>
      <c r="G177" t="s">
        <v>45</v>
      </c>
      <c r="H177" t="s">
        <v>70</v>
      </c>
      <c r="I177" t="s">
        <v>56</v>
      </c>
      <c r="J177" t="s">
        <v>57</v>
      </c>
      <c r="K177" t="s">
        <v>66</v>
      </c>
      <c r="L177">
        <v>4</v>
      </c>
      <c r="M177">
        <v>45</v>
      </c>
      <c r="N177" t="s">
        <v>71</v>
      </c>
      <c r="O177">
        <v>19</v>
      </c>
    </row>
    <row r="178" spans="1:15">
      <c r="A178" s="4">
        <v>45736</v>
      </c>
      <c r="B178" t="s">
        <v>72</v>
      </c>
      <c r="C178" t="s">
        <v>77</v>
      </c>
      <c r="D178">
        <v>4490</v>
      </c>
      <c r="E178" t="s">
        <v>62</v>
      </c>
      <c r="F178" t="s">
        <v>268</v>
      </c>
      <c r="G178" t="s">
        <v>45</v>
      </c>
      <c r="H178" t="s">
        <v>55</v>
      </c>
      <c r="I178" t="s">
        <v>84</v>
      </c>
      <c r="J178" t="s">
        <v>65</v>
      </c>
      <c r="K178" t="s">
        <v>58</v>
      </c>
      <c r="L178">
        <v>4</v>
      </c>
      <c r="M178">
        <v>30</v>
      </c>
      <c r="N178" t="s">
        <v>59</v>
      </c>
      <c r="O178">
        <v>3</v>
      </c>
    </row>
    <row r="179" spans="1:15">
      <c r="A179" s="4">
        <v>45986</v>
      </c>
      <c r="B179" t="s">
        <v>109</v>
      </c>
      <c r="C179" t="s">
        <v>68</v>
      </c>
      <c r="D179">
        <v>1220</v>
      </c>
      <c r="E179" t="s">
        <v>74</v>
      </c>
      <c r="F179" t="s">
        <v>269</v>
      </c>
      <c r="G179" t="s">
        <v>45</v>
      </c>
      <c r="H179" t="s">
        <v>70</v>
      </c>
      <c r="I179" t="s">
        <v>79</v>
      </c>
      <c r="J179" t="s">
        <v>65</v>
      </c>
      <c r="K179" t="s">
        <v>58</v>
      </c>
      <c r="L179">
        <v>1</v>
      </c>
      <c r="M179">
        <v>60</v>
      </c>
      <c r="N179" t="s">
        <v>93</v>
      </c>
      <c r="O179">
        <v>8</v>
      </c>
    </row>
    <row r="180" spans="1:15">
      <c r="A180" s="4">
        <v>45814</v>
      </c>
      <c r="B180" t="s">
        <v>85</v>
      </c>
      <c r="C180" t="s">
        <v>52</v>
      </c>
      <c r="D180">
        <v>4900</v>
      </c>
      <c r="E180" t="s">
        <v>53</v>
      </c>
      <c r="F180" t="s">
        <v>270</v>
      </c>
      <c r="G180" t="s">
        <v>46</v>
      </c>
      <c r="H180" t="s">
        <v>55</v>
      </c>
      <c r="I180" t="s">
        <v>84</v>
      </c>
      <c r="J180" t="s">
        <v>65</v>
      </c>
      <c r="K180" t="s">
        <v>58</v>
      </c>
      <c r="L180">
        <v>4</v>
      </c>
      <c r="M180">
        <v>45</v>
      </c>
      <c r="N180" t="s">
        <v>59</v>
      </c>
      <c r="O180">
        <v>19</v>
      </c>
    </row>
    <row r="181" spans="1:15">
      <c r="A181" s="4">
        <v>45707</v>
      </c>
      <c r="B181" t="s">
        <v>94</v>
      </c>
      <c r="C181" t="s">
        <v>73</v>
      </c>
      <c r="D181">
        <v>4010</v>
      </c>
      <c r="E181" t="s">
        <v>53</v>
      </c>
      <c r="F181" t="s">
        <v>271</v>
      </c>
      <c r="G181" t="s">
        <v>46</v>
      </c>
      <c r="H181" t="s">
        <v>70</v>
      </c>
      <c r="I181" t="s">
        <v>88</v>
      </c>
      <c r="J181" t="s">
        <v>57</v>
      </c>
      <c r="K181" t="s">
        <v>58</v>
      </c>
      <c r="L181">
        <v>2</v>
      </c>
      <c r="M181">
        <v>60</v>
      </c>
      <c r="N181" t="s">
        <v>71</v>
      </c>
      <c r="O181">
        <v>9</v>
      </c>
    </row>
    <row r="182" spans="1:15">
      <c r="A182" s="4">
        <v>45737</v>
      </c>
      <c r="B182" t="s">
        <v>90</v>
      </c>
      <c r="C182" t="s">
        <v>73</v>
      </c>
      <c r="D182">
        <v>1700</v>
      </c>
      <c r="E182" t="s">
        <v>62</v>
      </c>
      <c r="F182" t="s">
        <v>272</v>
      </c>
      <c r="G182" t="s">
        <v>46</v>
      </c>
      <c r="H182" t="s">
        <v>55</v>
      </c>
      <c r="I182" t="s">
        <v>56</v>
      </c>
      <c r="J182" t="s">
        <v>65</v>
      </c>
      <c r="K182" t="s">
        <v>66</v>
      </c>
      <c r="L182">
        <v>5</v>
      </c>
      <c r="M182">
        <v>45</v>
      </c>
      <c r="N182" t="s">
        <v>93</v>
      </c>
      <c r="O182">
        <v>17</v>
      </c>
    </row>
    <row r="183" spans="1:15">
      <c r="A183" s="4">
        <v>45915</v>
      </c>
      <c r="B183" t="s">
        <v>116</v>
      </c>
      <c r="C183" t="s">
        <v>68</v>
      </c>
      <c r="D183">
        <v>970</v>
      </c>
      <c r="E183" t="s">
        <v>53</v>
      </c>
      <c r="F183" t="s">
        <v>273</v>
      </c>
      <c r="G183" t="s">
        <v>46</v>
      </c>
      <c r="H183" t="s">
        <v>55</v>
      </c>
      <c r="I183" t="s">
        <v>64</v>
      </c>
      <c r="J183" t="s">
        <v>65</v>
      </c>
      <c r="K183" t="s">
        <v>66</v>
      </c>
      <c r="L183">
        <v>3</v>
      </c>
      <c r="M183">
        <v>45</v>
      </c>
      <c r="N183" t="s">
        <v>71</v>
      </c>
      <c r="O183">
        <v>4</v>
      </c>
    </row>
    <row r="184" spans="1:15">
      <c r="A184" s="4">
        <v>45824</v>
      </c>
      <c r="B184" t="s">
        <v>116</v>
      </c>
      <c r="C184" t="s">
        <v>73</v>
      </c>
      <c r="D184">
        <v>3440</v>
      </c>
      <c r="E184" t="s">
        <v>62</v>
      </c>
      <c r="F184" t="s">
        <v>274</v>
      </c>
      <c r="G184" t="s">
        <v>45</v>
      </c>
      <c r="H184" t="s">
        <v>55</v>
      </c>
      <c r="I184" t="s">
        <v>84</v>
      </c>
      <c r="J184" t="s">
        <v>57</v>
      </c>
      <c r="K184" t="s">
        <v>76</v>
      </c>
      <c r="L184">
        <v>3</v>
      </c>
      <c r="M184">
        <v>60</v>
      </c>
      <c r="N184" t="s">
        <v>71</v>
      </c>
      <c r="O184">
        <v>13</v>
      </c>
    </row>
    <row r="185" spans="1:15">
      <c r="A185" s="4">
        <v>45877</v>
      </c>
      <c r="B185" t="s">
        <v>101</v>
      </c>
      <c r="C185" t="s">
        <v>95</v>
      </c>
      <c r="D185">
        <v>3820</v>
      </c>
      <c r="E185" t="s">
        <v>53</v>
      </c>
      <c r="F185" t="s">
        <v>275</v>
      </c>
      <c r="G185" t="s">
        <v>45</v>
      </c>
      <c r="H185" t="s">
        <v>70</v>
      </c>
      <c r="I185" t="s">
        <v>64</v>
      </c>
      <c r="J185" t="s">
        <v>57</v>
      </c>
      <c r="K185" t="s">
        <v>58</v>
      </c>
      <c r="L185">
        <v>3</v>
      </c>
      <c r="M185">
        <v>90</v>
      </c>
      <c r="N185" t="s">
        <v>71</v>
      </c>
      <c r="O185">
        <v>16</v>
      </c>
    </row>
    <row r="186" spans="1:15">
      <c r="A186" s="4">
        <v>45978</v>
      </c>
      <c r="B186" t="s">
        <v>51</v>
      </c>
      <c r="C186" t="s">
        <v>73</v>
      </c>
      <c r="D186">
        <v>2030</v>
      </c>
      <c r="E186" t="s">
        <v>53</v>
      </c>
      <c r="F186" t="s">
        <v>276</v>
      </c>
      <c r="G186" t="s">
        <v>45</v>
      </c>
      <c r="H186" t="s">
        <v>55</v>
      </c>
      <c r="I186" t="s">
        <v>79</v>
      </c>
      <c r="J186" t="s">
        <v>65</v>
      </c>
      <c r="K186" t="s">
        <v>76</v>
      </c>
      <c r="L186">
        <v>1</v>
      </c>
      <c r="M186">
        <v>30</v>
      </c>
      <c r="N186" t="s">
        <v>59</v>
      </c>
      <c r="O186">
        <v>6</v>
      </c>
    </row>
    <row r="187" spans="1:15">
      <c r="A187" s="4">
        <v>45660</v>
      </c>
      <c r="B187" t="s">
        <v>51</v>
      </c>
      <c r="C187" t="s">
        <v>86</v>
      </c>
      <c r="D187">
        <v>1740</v>
      </c>
      <c r="E187" t="s">
        <v>74</v>
      </c>
      <c r="F187" t="s">
        <v>277</v>
      </c>
      <c r="G187" t="s">
        <v>46</v>
      </c>
      <c r="H187" t="s">
        <v>55</v>
      </c>
      <c r="I187" t="s">
        <v>56</v>
      </c>
      <c r="J187" t="s">
        <v>65</v>
      </c>
      <c r="K187" t="s">
        <v>58</v>
      </c>
      <c r="L187">
        <v>5</v>
      </c>
      <c r="M187">
        <v>30</v>
      </c>
      <c r="N187" t="s">
        <v>59</v>
      </c>
      <c r="O187">
        <v>5</v>
      </c>
    </row>
    <row r="188" spans="1:15">
      <c r="A188" s="4">
        <v>45784</v>
      </c>
      <c r="B188" t="s">
        <v>94</v>
      </c>
      <c r="C188" t="s">
        <v>81</v>
      </c>
      <c r="D188">
        <v>4790</v>
      </c>
      <c r="E188" t="s">
        <v>62</v>
      </c>
      <c r="F188" t="s">
        <v>278</v>
      </c>
      <c r="G188" t="s">
        <v>45</v>
      </c>
      <c r="H188" t="s">
        <v>70</v>
      </c>
      <c r="I188" t="s">
        <v>88</v>
      </c>
      <c r="J188" t="s">
        <v>57</v>
      </c>
      <c r="K188" t="s">
        <v>76</v>
      </c>
      <c r="L188">
        <v>2</v>
      </c>
      <c r="M188">
        <v>45</v>
      </c>
      <c r="N188" t="s">
        <v>71</v>
      </c>
      <c r="O188">
        <v>18</v>
      </c>
    </row>
    <row r="189" spans="1:15">
      <c r="A189" s="4">
        <v>45815</v>
      </c>
      <c r="B189" t="s">
        <v>109</v>
      </c>
      <c r="C189" t="s">
        <v>77</v>
      </c>
      <c r="D189">
        <v>4560</v>
      </c>
      <c r="E189" t="s">
        <v>53</v>
      </c>
      <c r="F189" t="s">
        <v>279</v>
      </c>
      <c r="G189" t="s">
        <v>46</v>
      </c>
      <c r="H189" t="s">
        <v>70</v>
      </c>
      <c r="I189" t="s">
        <v>88</v>
      </c>
      <c r="J189" t="s">
        <v>65</v>
      </c>
      <c r="K189" t="s">
        <v>76</v>
      </c>
      <c r="L189">
        <v>3</v>
      </c>
      <c r="M189">
        <v>90</v>
      </c>
      <c r="N189" t="s">
        <v>93</v>
      </c>
      <c r="O189">
        <v>9</v>
      </c>
    </row>
    <row r="190" spans="1:15">
      <c r="A190" s="4">
        <v>45779</v>
      </c>
      <c r="B190" t="s">
        <v>90</v>
      </c>
      <c r="C190" t="s">
        <v>73</v>
      </c>
      <c r="D190">
        <v>590</v>
      </c>
      <c r="E190" t="s">
        <v>74</v>
      </c>
      <c r="F190" t="s">
        <v>280</v>
      </c>
      <c r="G190" t="s">
        <v>45</v>
      </c>
      <c r="H190" t="s">
        <v>55</v>
      </c>
      <c r="I190" t="s">
        <v>92</v>
      </c>
      <c r="J190" t="s">
        <v>57</v>
      </c>
      <c r="K190" t="s">
        <v>66</v>
      </c>
      <c r="L190">
        <v>3</v>
      </c>
      <c r="M190">
        <v>45</v>
      </c>
      <c r="N190" t="s">
        <v>93</v>
      </c>
      <c r="O190">
        <v>8</v>
      </c>
    </row>
    <row r="191" spans="1:15">
      <c r="A191" s="4">
        <v>45978</v>
      </c>
      <c r="B191" t="s">
        <v>90</v>
      </c>
      <c r="C191" t="s">
        <v>98</v>
      </c>
      <c r="D191">
        <v>1650</v>
      </c>
      <c r="E191" t="s">
        <v>53</v>
      </c>
      <c r="F191" t="s">
        <v>281</v>
      </c>
      <c r="G191" t="s">
        <v>45</v>
      </c>
      <c r="H191" t="s">
        <v>55</v>
      </c>
      <c r="I191" t="s">
        <v>79</v>
      </c>
      <c r="J191" t="s">
        <v>57</v>
      </c>
      <c r="K191" t="s">
        <v>66</v>
      </c>
      <c r="L191">
        <v>3</v>
      </c>
      <c r="M191">
        <v>60</v>
      </c>
      <c r="N191" t="s">
        <v>71</v>
      </c>
      <c r="O191">
        <v>7</v>
      </c>
    </row>
    <row r="192" spans="1:15">
      <c r="A192" s="4">
        <v>45941</v>
      </c>
      <c r="B192" t="s">
        <v>67</v>
      </c>
      <c r="C192" t="s">
        <v>52</v>
      </c>
      <c r="D192">
        <v>2950</v>
      </c>
      <c r="E192" t="s">
        <v>74</v>
      </c>
      <c r="F192" t="s">
        <v>282</v>
      </c>
      <c r="G192" t="s">
        <v>45</v>
      </c>
      <c r="H192" t="s">
        <v>55</v>
      </c>
      <c r="I192" t="s">
        <v>92</v>
      </c>
      <c r="J192" t="s">
        <v>57</v>
      </c>
      <c r="K192" t="s">
        <v>76</v>
      </c>
      <c r="L192">
        <v>4</v>
      </c>
      <c r="M192">
        <v>30</v>
      </c>
      <c r="N192" t="s">
        <v>93</v>
      </c>
      <c r="O192">
        <v>7</v>
      </c>
    </row>
    <row r="193" spans="1:15">
      <c r="A193" s="4">
        <v>45700</v>
      </c>
      <c r="B193" t="s">
        <v>72</v>
      </c>
      <c r="C193" t="s">
        <v>81</v>
      </c>
      <c r="D193">
        <v>4390</v>
      </c>
      <c r="E193" t="s">
        <v>53</v>
      </c>
      <c r="F193" t="s">
        <v>283</v>
      </c>
      <c r="G193" t="s">
        <v>46</v>
      </c>
      <c r="H193" t="s">
        <v>70</v>
      </c>
      <c r="I193" t="s">
        <v>92</v>
      </c>
      <c r="J193" t="s">
        <v>65</v>
      </c>
      <c r="K193" t="s">
        <v>76</v>
      </c>
      <c r="L193">
        <v>3</v>
      </c>
      <c r="M193">
        <v>45</v>
      </c>
      <c r="N193" t="s">
        <v>59</v>
      </c>
      <c r="O193">
        <v>5</v>
      </c>
    </row>
    <row r="194" spans="1:15">
      <c r="A194" s="4">
        <v>45952</v>
      </c>
      <c r="B194" t="s">
        <v>109</v>
      </c>
      <c r="C194" t="s">
        <v>52</v>
      </c>
      <c r="D194">
        <v>1470</v>
      </c>
      <c r="E194" t="s">
        <v>53</v>
      </c>
      <c r="F194" t="s">
        <v>284</v>
      </c>
      <c r="G194" t="s">
        <v>45</v>
      </c>
      <c r="H194" t="s">
        <v>70</v>
      </c>
      <c r="I194" t="s">
        <v>64</v>
      </c>
      <c r="J194" t="s">
        <v>65</v>
      </c>
      <c r="K194" t="s">
        <v>58</v>
      </c>
      <c r="L194">
        <v>3</v>
      </c>
      <c r="M194">
        <v>45</v>
      </c>
      <c r="N194" t="s">
        <v>93</v>
      </c>
      <c r="O194">
        <v>14</v>
      </c>
    </row>
    <row r="195" spans="1:15">
      <c r="A195" s="4">
        <v>45830</v>
      </c>
      <c r="B195" t="s">
        <v>72</v>
      </c>
      <c r="C195" t="s">
        <v>61</v>
      </c>
      <c r="D195">
        <v>2540</v>
      </c>
      <c r="E195" t="s">
        <v>74</v>
      </c>
      <c r="F195" t="s">
        <v>285</v>
      </c>
      <c r="G195" t="s">
        <v>45</v>
      </c>
      <c r="H195" t="s">
        <v>55</v>
      </c>
      <c r="I195" t="s">
        <v>84</v>
      </c>
      <c r="J195" t="s">
        <v>65</v>
      </c>
      <c r="K195" t="s">
        <v>58</v>
      </c>
      <c r="L195">
        <v>3</v>
      </c>
      <c r="M195">
        <v>45</v>
      </c>
      <c r="N195" t="s">
        <v>59</v>
      </c>
      <c r="O195">
        <v>20</v>
      </c>
    </row>
    <row r="196" spans="1:15">
      <c r="A196" s="4">
        <v>45761</v>
      </c>
      <c r="B196" t="s">
        <v>94</v>
      </c>
      <c r="C196" t="s">
        <v>95</v>
      </c>
      <c r="D196">
        <v>380</v>
      </c>
      <c r="E196" t="s">
        <v>53</v>
      </c>
      <c r="F196" t="s">
        <v>286</v>
      </c>
      <c r="G196" t="s">
        <v>45</v>
      </c>
      <c r="H196" t="s">
        <v>70</v>
      </c>
      <c r="I196" t="s">
        <v>56</v>
      </c>
      <c r="J196" t="s">
        <v>65</v>
      </c>
      <c r="K196" t="s">
        <v>58</v>
      </c>
      <c r="L196">
        <v>2</v>
      </c>
      <c r="M196">
        <v>45</v>
      </c>
      <c r="N196" t="s">
        <v>71</v>
      </c>
      <c r="O196">
        <v>19</v>
      </c>
    </row>
    <row r="197" spans="1:15">
      <c r="A197" s="4">
        <v>45963</v>
      </c>
      <c r="B197" t="s">
        <v>90</v>
      </c>
      <c r="C197" t="s">
        <v>73</v>
      </c>
      <c r="D197">
        <v>4440</v>
      </c>
      <c r="E197" t="s">
        <v>53</v>
      </c>
      <c r="F197" t="s">
        <v>287</v>
      </c>
      <c r="G197" t="s">
        <v>46</v>
      </c>
      <c r="H197" t="s">
        <v>55</v>
      </c>
      <c r="I197" t="s">
        <v>79</v>
      </c>
      <c r="J197" t="s">
        <v>57</v>
      </c>
      <c r="K197" t="s">
        <v>76</v>
      </c>
      <c r="L197">
        <v>3</v>
      </c>
      <c r="M197">
        <v>30</v>
      </c>
      <c r="N197" t="s">
        <v>59</v>
      </c>
      <c r="O197">
        <v>14</v>
      </c>
    </row>
    <row r="198" spans="1:15">
      <c r="A198" s="4">
        <v>45974</v>
      </c>
      <c r="B198" t="s">
        <v>94</v>
      </c>
      <c r="C198" t="s">
        <v>114</v>
      </c>
      <c r="D198">
        <v>4970</v>
      </c>
      <c r="E198" t="s">
        <v>74</v>
      </c>
      <c r="F198" t="s">
        <v>288</v>
      </c>
      <c r="G198" t="s">
        <v>45</v>
      </c>
      <c r="H198" t="s">
        <v>55</v>
      </c>
      <c r="I198" t="s">
        <v>88</v>
      </c>
      <c r="J198" t="s">
        <v>57</v>
      </c>
      <c r="K198" t="s">
        <v>58</v>
      </c>
      <c r="L198">
        <v>4</v>
      </c>
      <c r="M198">
        <v>90</v>
      </c>
      <c r="N198" t="s">
        <v>93</v>
      </c>
      <c r="O198">
        <v>19</v>
      </c>
    </row>
    <row r="199" spans="1:15">
      <c r="A199" s="4">
        <v>45931</v>
      </c>
      <c r="B199" t="s">
        <v>60</v>
      </c>
      <c r="C199" t="s">
        <v>86</v>
      </c>
      <c r="D199">
        <v>3510</v>
      </c>
      <c r="E199" t="s">
        <v>62</v>
      </c>
      <c r="F199" t="s">
        <v>289</v>
      </c>
      <c r="G199" t="s">
        <v>46</v>
      </c>
      <c r="H199" t="s">
        <v>55</v>
      </c>
      <c r="I199" t="s">
        <v>56</v>
      </c>
      <c r="J199" t="s">
        <v>57</v>
      </c>
      <c r="K199" t="s">
        <v>58</v>
      </c>
      <c r="L199">
        <v>4</v>
      </c>
      <c r="M199">
        <v>60</v>
      </c>
      <c r="N199" t="s">
        <v>71</v>
      </c>
      <c r="O199">
        <v>6</v>
      </c>
    </row>
    <row r="200" spans="1:15">
      <c r="A200" s="4">
        <v>45757</v>
      </c>
      <c r="B200" t="s">
        <v>72</v>
      </c>
      <c r="C200" t="s">
        <v>95</v>
      </c>
      <c r="D200">
        <v>3010</v>
      </c>
      <c r="E200" t="s">
        <v>53</v>
      </c>
      <c r="F200" t="s">
        <v>290</v>
      </c>
      <c r="G200" t="s">
        <v>45</v>
      </c>
      <c r="H200" t="s">
        <v>70</v>
      </c>
      <c r="I200" t="s">
        <v>79</v>
      </c>
      <c r="J200" t="s">
        <v>65</v>
      </c>
      <c r="K200" t="s">
        <v>76</v>
      </c>
      <c r="L200">
        <v>2</v>
      </c>
      <c r="M200">
        <v>30</v>
      </c>
      <c r="N200" t="s">
        <v>71</v>
      </c>
      <c r="O200">
        <v>13</v>
      </c>
    </row>
    <row r="201" spans="1:15">
      <c r="A201" s="4">
        <v>45889</v>
      </c>
      <c r="B201" t="s">
        <v>85</v>
      </c>
      <c r="C201" t="s">
        <v>52</v>
      </c>
      <c r="D201">
        <v>1920</v>
      </c>
      <c r="E201" t="s">
        <v>62</v>
      </c>
      <c r="F201" t="s">
        <v>291</v>
      </c>
      <c r="G201" t="s">
        <v>45</v>
      </c>
      <c r="H201" t="s">
        <v>55</v>
      </c>
      <c r="I201" t="s">
        <v>64</v>
      </c>
      <c r="J201" t="s">
        <v>57</v>
      </c>
      <c r="K201" t="s">
        <v>76</v>
      </c>
      <c r="L201">
        <v>3</v>
      </c>
      <c r="M201">
        <v>45</v>
      </c>
      <c r="N201" t="s">
        <v>71</v>
      </c>
      <c r="O201">
        <v>6</v>
      </c>
    </row>
    <row r="202" spans="1:15">
      <c r="A202" s="4">
        <v>45897</v>
      </c>
      <c r="B202" t="s">
        <v>60</v>
      </c>
      <c r="C202" t="s">
        <v>98</v>
      </c>
      <c r="D202">
        <v>3440</v>
      </c>
      <c r="E202" t="s">
        <v>74</v>
      </c>
      <c r="F202" t="s">
        <v>292</v>
      </c>
      <c r="G202" t="s">
        <v>46</v>
      </c>
      <c r="H202" t="s">
        <v>55</v>
      </c>
      <c r="I202" t="s">
        <v>88</v>
      </c>
      <c r="J202" t="s">
        <v>57</v>
      </c>
      <c r="K202" t="s">
        <v>58</v>
      </c>
      <c r="L202">
        <v>2</v>
      </c>
      <c r="M202">
        <v>60</v>
      </c>
      <c r="N202" t="s">
        <v>59</v>
      </c>
      <c r="O202">
        <v>18</v>
      </c>
    </row>
    <row r="203" spans="1:15">
      <c r="A203" s="4">
        <v>45659</v>
      </c>
      <c r="B203" t="s">
        <v>60</v>
      </c>
      <c r="C203" t="s">
        <v>68</v>
      </c>
      <c r="D203">
        <v>4550</v>
      </c>
      <c r="E203" t="s">
        <v>74</v>
      </c>
      <c r="F203" t="s">
        <v>293</v>
      </c>
      <c r="G203" t="s">
        <v>45</v>
      </c>
      <c r="H203" t="s">
        <v>55</v>
      </c>
      <c r="I203" t="s">
        <v>88</v>
      </c>
      <c r="J203" t="s">
        <v>57</v>
      </c>
      <c r="K203" t="s">
        <v>58</v>
      </c>
      <c r="L203">
        <v>3</v>
      </c>
      <c r="M203">
        <v>90</v>
      </c>
      <c r="N203" t="s">
        <v>93</v>
      </c>
      <c r="O203">
        <v>4</v>
      </c>
    </row>
    <row r="204" spans="1:15">
      <c r="A204" s="4">
        <v>45870</v>
      </c>
      <c r="B204" t="s">
        <v>85</v>
      </c>
      <c r="C204" t="s">
        <v>114</v>
      </c>
      <c r="D204">
        <v>440</v>
      </c>
      <c r="E204" t="s">
        <v>53</v>
      </c>
      <c r="F204" t="s">
        <v>294</v>
      </c>
      <c r="G204" t="s">
        <v>46</v>
      </c>
      <c r="H204" t="s">
        <v>55</v>
      </c>
      <c r="I204" t="s">
        <v>64</v>
      </c>
      <c r="J204" t="s">
        <v>65</v>
      </c>
      <c r="K204" t="s">
        <v>76</v>
      </c>
      <c r="L204">
        <v>4</v>
      </c>
      <c r="M204">
        <v>30</v>
      </c>
      <c r="N204" t="s">
        <v>59</v>
      </c>
      <c r="O204">
        <v>17</v>
      </c>
    </row>
    <row r="205" spans="1:15">
      <c r="A205" s="4">
        <v>45671</v>
      </c>
      <c r="B205" t="s">
        <v>72</v>
      </c>
      <c r="C205" t="s">
        <v>61</v>
      </c>
      <c r="D205">
        <v>2740</v>
      </c>
      <c r="E205" t="s">
        <v>53</v>
      </c>
      <c r="F205" t="s">
        <v>295</v>
      </c>
      <c r="G205" t="s">
        <v>45</v>
      </c>
      <c r="H205" t="s">
        <v>70</v>
      </c>
      <c r="I205" t="s">
        <v>64</v>
      </c>
      <c r="J205" t="s">
        <v>57</v>
      </c>
      <c r="K205" t="s">
        <v>76</v>
      </c>
      <c r="L205">
        <v>3</v>
      </c>
      <c r="M205">
        <v>90</v>
      </c>
      <c r="N205" t="s">
        <v>93</v>
      </c>
      <c r="O205">
        <v>4</v>
      </c>
    </row>
    <row r="206" spans="1:15">
      <c r="A206" s="4">
        <v>46022</v>
      </c>
      <c r="B206" t="s">
        <v>85</v>
      </c>
      <c r="C206" t="s">
        <v>52</v>
      </c>
      <c r="D206">
        <v>1340</v>
      </c>
      <c r="E206" t="s">
        <v>62</v>
      </c>
      <c r="F206" t="s">
        <v>296</v>
      </c>
      <c r="G206" t="s">
        <v>45</v>
      </c>
      <c r="H206" t="s">
        <v>70</v>
      </c>
      <c r="I206" t="s">
        <v>84</v>
      </c>
      <c r="J206" t="s">
        <v>57</v>
      </c>
      <c r="K206" t="s">
        <v>58</v>
      </c>
      <c r="L206">
        <v>4</v>
      </c>
      <c r="M206">
        <v>45</v>
      </c>
      <c r="N206" t="s">
        <v>93</v>
      </c>
      <c r="O206">
        <v>12</v>
      </c>
    </row>
    <row r="207" spans="1:15">
      <c r="A207" s="4">
        <v>45696</v>
      </c>
      <c r="B207" t="s">
        <v>60</v>
      </c>
      <c r="C207" t="s">
        <v>98</v>
      </c>
      <c r="D207">
        <v>3900</v>
      </c>
      <c r="E207" t="s">
        <v>53</v>
      </c>
      <c r="F207" t="s">
        <v>297</v>
      </c>
      <c r="G207" t="s">
        <v>46</v>
      </c>
      <c r="H207" t="s">
        <v>55</v>
      </c>
      <c r="I207" t="s">
        <v>92</v>
      </c>
      <c r="J207" t="s">
        <v>65</v>
      </c>
      <c r="K207" t="s">
        <v>76</v>
      </c>
      <c r="L207">
        <v>4</v>
      </c>
      <c r="M207">
        <v>45</v>
      </c>
      <c r="N207" t="s">
        <v>59</v>
      </c>
      <c r="O207">
        <v>6</v>
      </c>
    </row>
    <row r="208" spans="1:15">
      <c r="A208" s="4">
        <v>45823</v>
      </c>
      <c r="B208" t="s">
        <v>97</v>
      </c>
      <c r="C208" t="s">
        <v>73</v>
      </c>
      <c r="D208">
        <v>3710</v>
      </c>
      <c r="E208" t="s">
        <v>62</v>
      </c>
      <c r="F208" t="s">
        <v>298</v>
      </c>
      <c r="G208" t="s">
        <v>45</v>
      </c>
      <c r="H208" t="s">
        <v>55</v>
      </c>
      <c r="I208" t="s">
        <v>56</v>
      </c>
      <c r="J208" t="s">
        <v>65</v>
      </c>
      <c r="K208" t="s">
        <v>58</v>
      </c>
      <c r="L208">
        <v>4</v>
      </c>
      <c r="M208">
        <v>30</v>
      </c>
      <c r="N208" t="s">
        <v>71</v>
      </c>
      <c r="O208">
        <v>5</v>
      </c>
    </row>
    <row r="209" spans="1:15">
      <c r="A209" s="4">
        <v>45849</v>
      </c>
      <c r="B209" t="s">
        <v>109</v>
      </c>
      <c r="C209" t="s">
        <v>98</v>
      </c>
      <c r="D209">
        <v>2070</v>
      </c>
      <c r="E209" t="s">
        <v>53</v>
      </c>
      <c r="F209" t="s">
        <v>299</v>
      </c>
      <c r="G209" t="s">
        <v>46</v>
      </c>
      <c r="H209" t="s">
        <v>70</v>
      </c>
      <c r="I209" t="s">
        <v>84</v>
      </c>
      <c r="J209" t="s">
        <v>65</v>
      </c>
      <c r="K209" t="s">
        <v>58</v>
      </c>
      <c r="L209">
        <v>4</v>
      </c>
      <c r="M209">
        <v>45</v>
      </c>
      <c r="N209" t="s">
        <v>59</v>
      </c>
      <c r="O209">
        <v>6</v>
      </c>
    </row>
    <row r="210" spans="1:15">
      <c r="A210" s="4">
        <v>45685</v>
      </c>
      <c r="B210" t="s">
        <v>101</v>
      </c>
      <c r="C210" t="s">
        <v>68</v>
      </c>
      <c r="D210">
        <v>760</v>
      </c>
      <c r="E210" t="s">
        <v>74</v>
      </c>
      <c r="F210" t="s">
        <v>300</v>
      </c>
      <c r="G210" t="s">
        <v>46</v>
      </c>
      <c r="H210" t="s">
        <v>55</v>
      </c>
      <c r="I210" t="s">
        <v>92</v>
      </c>
      <c r="J210" t="s">
        <v>65</v>
      </c>
      <c r="K210" t="s">
        <v>76</v>
      </c>
      <c r="L210">
        <v>2</v>
      </c>
      <c r="M210">
        <v>60</v>
      </c>
      <c r="N210" t="s">
        <v>93</v>
      </c>
      <c r="O210">
        <v>4</v>
      </c>
    </row>
    <row r="211" spans="1:15">
      <c r="A211" s="4">
        <v>45887</v>
      </c>
      <c r="B211" t="s">
        <v>101</v>
      </c>
      <c r="C211" t="s">
        <v>95</v>
      </c>
      <c r="D211">
        <v>3630</v>
      </c>
      <c r="E211" t="s">
        <v>53</v>
      </c>
      <c r="F211" t="s">
        <v>301</v>
      </c>
      <c r="G211" t="s">
        <v>45</v>
      </c>
      <c r="H211" t="s">
        <v>55</v>
      </c>
      <c r="I211" t="s">
        <v>84</v>
      </c>
      <c r="J211" t="s">
        <v>57</v>
      </c>
      <c r="K211" t="s">
        <v>66</v>
      </c>
      <c r="L211">
        <v>5</v>
      </c>
      <c r="M211">
        <v>30</v>
      </c>
      <c r="N211" t="s">
        <v>71</v>
      </c>
      <c r="O211">
        <v>10</v>
      </c>
    </row>
    <row r="212" spans="1:15">
      <c r="A212" s="4">
        <v>45860</v>
      </c>
      <c r="B212" t="s">
        <v>94</v>
      </c>
      <c r="C212" t="s">
        <v>95</v>
      </c>
      <c r="D212">
        <v>3210</v>
      </c>
      <c r="E212" t="s">
        <v>62</v>
      </c>
      <c r="F212" t="s">
        <v>302</v>
      </c>
      <c r="G212" t="s">
        <v>45</v>
      </c>
      <c r="H212" t="s">
        <v>70</v>
      </c>
      <c r="I212" t="s">
        <v>84</v>
      </c>
      <c r="J212" t="s">
        <v>65</v>
      </c>
      <c r="K212" t="s">
        <v>58</v>
      </c>
      <c r="L212">
        <v>3</v>
      </c>
      <c r="M212">
        <v>30</v>
      </c>
      <c r="N212" t="s">
        <v>71</v>
      </c>
      <c r="O212">
        <v>5</v>
      </c>
    </row>
    <row r="213" spans="1:15">
      <c r="A213" s="4">
        <v>45808</v>
      </c>
      <c r="B213" t="s">
        <v>94</v>
      </c>
      <c r="C213" t="s">
        <v>95</v>
      </c>
      <c r="D213">
        <v>4690</v>
      </c>
      <c r="E213" t="s">
        <v>53</v>
      </c>
      <c r="F213" t="s">
        <v>303</v>
      </c>
      <c r="G213" t="s">
        <v>45</v>
      </c>
      <c r="H213" t="s">
        <v>55</v>
      </c>
      <c r="I213" t="s">
        <v>84</v>
      </c>
      <c r="J213" t="s">
        <v>65</v>
      </c>
      <c r="K213" t="s">
        <v>76</v>
      </c>
      <c r="L213">
        <v>1</v>
      </c>
      <c r="M213">
        <v>45</v>
      </c>
      <c r="N213" t="s">
        <v>71</v>
      </c>
      <c r="O213">
        <v>11</v>
      </c>
    </row>
    <row r="214" spans="1:15">
      <c r="A214" s="4">
        <v>45978</v>
      </c>
      <c r="B214" t="s">
        <v>109</v>
      </c>
      <c r="C214" t="s">
        <v>81</v>
      </c>
      <c r="D214">
        <v>2220</v>
      </c>
      <c r="E214" t="s">
        <v>53</v>
      </c>
      <c r="F214" t="s">
        <v>304</v>
      </c>
      <c r="G214" t="s">
        <v>45</v>
      </c>
      <c r="H214" t="s">
        <v>55</v>
      </c>
      <c r="I214" t="s">
        <v>84</v>
      </c>
      <c r="J214" t="s">
        <v>65</v>
      </c>
      <c r="K214" t="s">
        <v>76</v>
      </c>
      <c r="L214">
        <v>5</v>
      </c>
      <c r="M214">
        <v>45</v>
      </c>
      <c r="N214" t="s">
        <v>71</v>
      </c>
      <c r="O214">
        <v>8</v>
      </c>
    </row>
    <row r="215" spans="1:15">
      <c r="A215" s="4">
        <v>45960</v>
      </c>
      <c r="B215" t="s">
        <v>72</v>
      </c>
      <c r="C215" t="s">
        <v>77</v>
      </c>
      <c r="D215">
        <v>4690</v>
      </c>
      <c r="E215" t="s">
        <v>53</v>
      </c>
      <c r="F215" t="s">
        <v>305</v>
      </c>
      <c r="G215" t="s">
        <v>46</v>
      </c>
      <c r="H215" t="s">
        <v>70</v>
      </c>
      <c r="I215" t="s">
        <v>88</v>
      </c>
      <c r="J215" t="s">
        <v>57</v>
      </c>
      <c r="K215" t="s">
        <v>76</v>
      </c>
      <c r="L215">
        <v>5</v>
      </c>
      <c r="M215">
        <v>90</v>
      </c>
      <c r="N215" t="s">
        <v>93</v>
      </c>
      <c r="O215">
        <v>8</v>
      </c>
    </row>
    <row r="216" spans="1:15">
      <c r="A216" s="4">
        <v>45896</v>
      </c>
      <c r="B216" t="s">
        <v>116</v>
      </c>
      <c r="C216" t="s">
        <v>86</v>
      </c>
      <c r="D216">
        <v>3040</v>
      </c>
      <c r="E216" t="s">
        <v>62</v>
      </c>
      <c r="F216" t="s">
        <v>306</v>
      </c>
      <c r="G216" t="s">
        <v>46</v>
      </c>
      <c r="H216" t="s">
        <v>70</v>
      </c>
      <c r="I216" t="s">
        <v>56</v>
      </c>
      <c r="J216" t="s">
        <v>65</v>
      </c>
      <c r="K216" t="s">
        <v>76</v>
      </c>
      <c r="L216">
        <v>3</v>
      </c>
      <c r="M216">
        <v>45</v>
      </c>
      <c r="N216" t="s">
        <v>59</v>
      </c>
      <c r="O216">
        <v>19</v>
      </c>
    </row>
    <row r="217" spans="1:15">
      <c r="A217" s="4">
        <v>45915</v>
      </c>
      <c r="B217" t="s">
        <v>97</v>
      </c>
      <c r="C217" t="s">
        <v>81</v>
      </c>
      <c r="D217">
        <v>4910</v>
      </c>
      <c r="E217" t="s">
        <v>74</v>
      </c>
      <c r="F217" t="s">
        <v>307</v>
      </c>
      <c r="G217" t="s">
        <v>45</v>
      </c>
      <c r="H217" t="s">
        <v>70</v>
      </c>
      <c r="I217" t="s">
        <v>64</v>
      </c>
      <c r="J217" t="s">
        <v>65</v>
      </c>
      <c r="K217" t="s">
        <v>66</v>
      </c>
      <c r="L217">
        <v>4</v>
      </c>
      <c r="M217">
        <v>90</v>
      </c>
      <c r="N217" t="s">
        <v>93</v>
      </c>
      <c r="O217">
        <v>12</v>
      </c>
    </row>
    <row r="218" spans="1:15">
      <c r="A218" s="4">
        <v>45958</v>
      </c>
      <c r="B218" t="s">
        <v>85</v>
      </c>
      <c r="C218" t="s">
        <v>52</v>
      </c>
      <c r="D218">
        <v>1690</v>
      </c>
      <c r="E218" t="s">
        <v>53</v>
      </c>
      <c r="F218" t="s">
        <v>308</v>
      </c>
      <c r="G218" t="s">
        <v>45</v>
      </c>
      <c r="H218" t="s">
        <v>70</v>
      </c>
      <c r="I218" t="s">
        <v>84</v>
      </c>
      <c r="J218" t="s">
        <v>65</v>
      </c>
      <c r="K218" t="s">
        <v>58</v>
      </c>
      <c r="L218">
        <v>4</v>
      </c>
      <c r="M218">
        <v>30</v>
      </c>
      <c r="N218" t="s">
        <v>93</v>
      </c>
      <c r="O218">
        <v>12</v>
      </c>
    </row>
    <row r="219" spans="1:15">
      <c r="A219" s="4">
        <v>45911</v>
      </c>
      <c r="B219" t="s">
        <v>109</v>
      </c>
      <c r="C219" t="s">
        <v>98</v>
      </c>
      <c r="D219">
        <v>4450</v>
      </c>
      <c r="E219" t="s">
        <v>62</v>
      </c>
      <c r="F219" t="s">
        <v>309</v>
      </c>
      <c r="G219" t="s">
        <v>45</v>
      </c>
      <c r="H219" t="s">
        <v>70</v>
      </c>
      <c r="I219" t="s">
        <v>92</v>
      </c>
      <c r="J219" t="s">
        <v>65</v>
      </c>
      <c r="K219" t="s">
        <v>76</v>
      </c>
      <c r="L219">
        <v>4</v>
      </c>
      <c r="M219">
        <v>45</v>
      </c>
      <c r="N219" t="s">
        <v>71</v>
      </c>
      <c r="O219">
        <v>18</v>
      </c>
    </row>
    <row r="220" spans="1:15">
      <c r="A220" s="4">
        <v>45861</v>
      </c>
      <c r="B220" t="s">
        <v>97</v>
      </c>
      <c r="C220" t="s">
        <v>52</v>
      </c>
      <c r="D220">
        <v>1100</v>
      </c>
      <c r="E220" t="s">
        <v>62</v>
      </c>
      <c r="F220" t="s">
        <v>310</v>
      </c>
      <c r="G220" t="s">
        <v>45</v>
      </c>
      <c r="H220" t="s">
        <v>70</v>
      </c>
      <c r="I220" t="s">
        <v>92</v>
      </c>
      <c r="J220" t="s">
        <v>65</v>
      </c>
      <c r="K220" t="s">
        <v>58</v>
      </c>
      <c r="L220">
        <v>1</v>
      </c>
      <c r="M220">
        <v>60</v>
      </c>
      <c r="N220" t="s">
        <v>93</v>
      </c>
      <c r="O220">
        <v>15</v>
      </c>
    </row>
    <row r="221" spans="1:15">
      <c r="A221" s="4">
        <v>45979</v>
      </c>
      <c r="B221" t="s">
        <v>60</v>
      </c>
      <c r="C221" t="s">
        <v>52</v>
      </c>
      <c r="D221">
        <v>480</v>
      </c>
      <c r="E221" t="s">
        <v>74</v>
      </c>
      <c r="F221" t="s">
        <v>311</v>
      </c>
      <c r="G221" t="s">
        <v>46</v>
      </c>
      <c r="H221" t="s">
        <v>70</v>
      </c>
      <c r="I221" t="s">
        <v>84</v>
      </c>
      <c r="J221" t="s">
        <v>65</v>
      </c>
      <c r="K221" t="s">
        <v>58</v>
      </c>
      <c r="L221">
        <v>2</v>
      </c>
      <c r="M221">
        <v>90</v>
      </c>
      <c r="N221" t="s">
        <v>59</v>
      </c>
      <c r="O221">
        <v>16</v>
      </c>
    </row>
    <row r="222" spans="1:15">
      <c r="A222" s="4">
        <v>45793</v>
      </c>
      <c r="B222" t="s">
        <v>60</v>
      </c>
      <c r="C222" t="s">
        <v>98</v>
      </c>
      <c r="D222">
        <v>2090</v>
      </c>
      <c r="E222" t="s">
        <v>74</v>
      </c>
      <c r="F222" t="s">
        <v>312</v>
      </c>
      <c r="G222" t="s">
        <v>45</v>
      </c>
      <c r="H222" t="s">
        <v>55</v>
      </c>
      <c r="I222" t="s">
        <v>88</v>
      </c>
      <c r="J222" t="s">
        <v>57</v>
      </c>
      <c r="K222" t="s">
        <v>58</v>
      </c>
      <c r="L222">
        <v>4</v>
      </c>
      <c r="M222">
        <v>30</v>
      </c>
      <c r="N222" t="s">
        <v>59</v>
      </c>
      <c r="O222">
        <v>7</v>
      </c>
    </row>
    <row r="223" spans="1:15">
      <c r="A223" s="4">
        <v>45846</v>
      </c>
      <c r="B223" t="s">
        <v>97</v>
      </c>
      <c r="C223" t="s">
        <v>68</v>
      </c>
      <c r="D223">
        <v>1690</v>
      </c>
      <c r="E223" t="s">
        <v>53</v>
      </c>
      <c r="F223" t="s">
        <v>313</v>
      </c>
      <c r="G223" t="s">
        <v>45</v>
      </c>
      <c r="H223" t="s">
        <v>70</v>
      </c>
      <c r="I223" t="s">
        <v>64</v>
      </c>
      <c r="J223" t="s">
        <v>57</v>
      </c>
      <c r="K223" t="s">
        <v>76</v>
      </c>
      <c r="L223">
        <v>2</v>
      </c>
      <c r="M223">
        <v>30</v>
      </c>
      <c r="N223" t="s">
        <v>71</v>
      </c>
      <c r="O223">
        <v>9</v>
      </c>
    </row>
    <row r="224" spans="1:15">
      <c r="A224" s="4">
        <v>45931</v>
      </c>
      <c r="B224" t="s">
        <v>109</v>
      </c>
      <c r="C224" t="s">
        <v>86</v>
      </c>
      <c r="D224">
        <v>2530</v>
      </c>
      <c r="E224" t="s">
        <v>74</v>
      </c>
      <c r="F224" t="s">
        <v>314</v>
      </c>
      <c r="G224" t="s">
        <v>46</v>
      </c>
      <c r="H224" t="s">
        <v>70</v>
      </c>
      <c r="I224" t="s">
        <v>92</v>
      </c>
      <c r="J224" t="s">
        <v>65</v>
      </c>
      <c r="K224" t="s">
        <v>76</v>
      </c>
      <c r="L224">
        <v>4</v>
      </c>
      <c r="M224">
        <v>30</v>
      </c>
      <c r="N224" t="s">
        <v>93</v>
      </c>
      <c r="O224">
        <v>8</v>
      </c>
    </row>
    <row r="225" spans="1:15">
      <c r="A225" s="4">
        <v>45795</v>
      </c>
      <c r="B225" t="s">
        <v>90</v>
      </c>
      <c r="C225" t="s">
        <v>52</v>
      </c>
      <c r="D225">
        <v>4270</v>
      </c>
      <c r="E225" t="s">
        <v>62</v>
      </c>
      <c r="F225" t="s">
        <v>315</v>
      </c>
      <c r="G225" t="s">
        <v>46</v>
      </c>
      <c r="H225" t="s">
        <v>55</v>
      </c>
      <c r="I225" t="s">
        <v>88</v>
      </c>
      <c r="J225" t="s">
        <v>57</v>
      </c>
      <c r="K225" t="s">
        <v>66</v>
      </c>
      <c r="L225">
        <v>3</v>
      </c>
      <c r="M225">
        <v>30</v>
      </c>
      <c r="N225" t="s">
        <v>59</v>
      </c>
      <c r="O225">
        <v>4</v>
      </c>
    </row>
    <row r="226" spans="1:15">
      <c r="A226" s="4">
        <v>45925</v>
      </c>
      <c r="B226" t="s">
        <v>85</v>
      </c>
      <c r="C226" t="s">
        <v>98</v>
      </c>
      <c r="D226">
        <v>1870</v>
      </c>
      <c r="E226" t="s">
        <v>53</v>
      </c>
      <c r="F226" t="s">
        <v>316</v>
      </c>
      <c r="G226" t="s">
        <v>45</v>
      </c>
      <c r="H226" t="s">
        <v>55</v>
      </c>
      <c r="I226" t="s">
        <v>88</v>
      </c>
      <c r="J226" t="s">
        <v>57</v>
      </c>
      <c r="K226" t="s">
        <v>58</v>
      </c>
      <c r="L226">
        <v>3</v>
      </c>
      <c r="M226">
        <v>90</v>
      </c>
      <c r="N226" t="s">
        <v>59</v>
      </c>
      <c r="O226">
        <v>8</v>
      </c>
    </row>
    <row r="227" spans="1:15">
      <c r="A227" s="4">
        <v>45696</v>
      </c>
      <c r="B227" t="s">
        <v>97</v>
      </c>
      <c r="C227" t="s">
        <v>68</v>
      </c>
      <c r="D227">
        <v>4450</v>
      </c>
      <c r="E227" t="s">
        <v>53</v>
      </c>
      <c r="F227" t="s">
        <v>317</v>
      </c>
      <c r="G227" t="s">
        <v>45</v>
      </c>
      <c r="H227" t="s">
        <v>55</v>
      </c>
      <c r="I227" t="s">
        <v>88</v>
      </c>
      <c r="J227" t="s">
        <v>65</v>
      </c>
      <c r="K227" t="s">
        <v>66</v>
      </c>
      <c r="L227">
        <v>5</v>
      </c>
      <c r="M227">
        <v>60</v>
      </c>
      <c r="N227" t="s">
        <v>93</v>
      </c>
      <c r="O227">
        <v>17</v>
      </c>
    </row>
    <row r="228" spans="1:15">
      <c r="A228" s="4">
        <v>46007</v>
      </c>
      <c r="B228" t="s">
        <v>90</v>
      </c>
      <c r="C228" t="s">
        <v>73</v>
      </c>
      <c r="D228">
        <v>4290</v>
      </c>
      <c r="E228" t="s">
        <v>62</v>
      </c>
      <c r="F228" t="s">
        <v>318</v>
      </c>
      <c r="G228" t="s">
        <v>45</v>
      </c>
      <c r="H228" t="s">
        <v>55</v>
      </c>
      <c r="I228" t="s">
        <v>84</v>
      </c>
      <c r="J228" t="s">
        <v>65</v>
      </c>
      <c r="K228" t="s">
        <v>58</v>
      </c>
      <c r="L228">
        <v>5</v>
      </c>
      <c r="M228">
        <v>45</v>
      </c>
      <c r="N228" t="s">
        <v>93</v>
      </c>
      <c r="O228">
        <v>6</v>
      </c>
    </row>
    <row r="229" spans="1:15">
      <c r="A229" s="4">
        <v>45901</v>
      </c>
      <c r="B229" t="s">
        <v>90</v>
      </c>
      <c r="C229" t="s">
        <v>114</v>
      </c>
      <c r="D229">
        <v>1830</v>
      </c>
      <c r="E229" t="s">
        <v>74</v>
      </c>
      <c r="F229" t="s">
        <v>319</v>
      </c>
      <c r="G229" t="s">
        <v>46</v>
      </c>
      <c r="H229" t="s">
        <v>70</v>
      </c>
      <c r="I229" t="s">
        <v>92</v>
      </c>
      <c r="J229" t="s">
        <v>57</v>
      </c>
      <c r="K229" t="s">
        <v>76</v>
      </c>
      <c r="L229">
        <v>2</v>
      </c>
      <c r="M229">
        <v>45</v>
      </c>
      <c r="N229" t="s">
        <v>93</v>
      </c>
      <c r="O229">
        <v>12</v>
      </c>
    </row>
    <row r="230" spans="1:15">
      <c r="A230" s="4">
        <v>45998</v>
      </c>
      <c r="B230" t="s">
        <v>67</v>
      </c>
      <c r="C230" t="s">
        <v>95</v>
      </c>
      <c r="D230">
        <v>3120</v>
      </c>
      <c r="E230" t="s">
        <v>53</v>
      </c>
      <c r="F230" t="s">
        <v>320</v>
      </c>
      <c r="G230" t="s">
        <v>46</v>
      </c>
      <c r="H230" t="s">
        <v>55</v>
      </c>
      <c r="I230" t="s">
        <v>84</v>
      </c>
      <c r="J230" t="s">
        <v>65</v>
      </c>
      <c r="K230" t="s">
        <v>76</v>
      </c>
      <c r="L230">
        <v>3</v>
      </c>
      <c r="M230">
        <v>45</v>
      </c>
      <c r="N230" t="s">
        <v>71</v>
      </c>
      <c r="O230">
        <v>10</v>
      </c>
    </row>
    <row r="231" spans="1:15">
      <c r="A231" s="4">
        <v>45747</v>
      </c>
      <c r="B231" t="s">
        <v>67</v>
      </c>
      <c r="C231" t="s">
        <v>86</v>
      </c>
      <c r="D231">
        <v>1520</v>
      </c>
      <c r="E231" t="s">
        <v>62</v>
      </c>
      <c r="F231" t="s">
        <v>321</v>
      </c>
      <c r="G231" t="s">
        <v>46</v>
      </c>
      <c r="H231" t="s">
        <v>55</v>
      </c>
      <c r="I231" t="s">
        <v>64</v>
      </c>
      <c r="J231" t="s">
        <v>57</v>
      </c>
      <c r="K231" t="s">
        <v>76</v>
      </c>
      <c r="L231">
        <v>4</v>
      </c>
      <c r="M231">
        <v>60</v>
      </c>
      <c r="N231" t="s">
        <v>93</v>
      </c>
      <c r="O231">
        <v>4</v>
      </c>
    </row>
    <row r="232" spans="1:15">
      <c r="A232" s="4">
        <v>45765</v>
      </c>
      <c r="B232" t="s">
        <v>60</v>
      </c>
      <c r="C232" t="s">
        <v>52</v>
      </c>
      <c r="D232">
        <v>4220</v>
      </c>
      <c r="E232" t="s">
        <v>62</v>
      </c>
      <c r="F232" t="s">
        <v>322</v>
      </c>
      <c r="G232" t="s">
        <v>45</v>
      </c>
      <c r="H232" t="s">
        <v>55</v>
      </c>
      <c r="I232" t="s">
        <v>88</v>
      </c>
      <c r="J232" t="s">
        <v>57</v>
      </c>
      <c r="K232" t="s">
        <v>76</v>
      </c>
      <c r="L232">
        <v>5</v>
      </c>
      <c r="M232">
        <v>45</v>
      </c>
      <c r="N232" t="s">
        <v>71</v>
      </c>
      <c r="O232">
        <v>5</v>
      </c>
    </row>
    <row r="233" spans="1:15">
      <c r="A233" s="4">
        <v>45994</v>
      </c>
      <c r="B233" t="s">
        <v>72</v>
      </c>
      <c r="C233" t="s">
        <v>61</v>
      </c>
      <c r="D233">
        <v>1800</v>
      </c>
      <c r="E233" t="s">
        <v>62</v>
      </c>
      <c r="F233" t="s">
        <v>323</v>
      </c>
      <c r="G233" t="s">
        <v>46</v>
      </c>
      <c r="H233" t="s">
        <v>55</v>
      </c>
      <c r="I233" t="s">
        <v>79</v>
      </c>
      <c r="J233" t="s">
        <v>57</v>
      </c>
      <c r="K233" t="s">
        <v>66</v>
      </c>
      <c r="L233">
        <v>2</v>
      </c>
      <c r="M233">
        <v>60</v>
      </c>
      <c r="N233" t="s">
        <v>93</v>
      </c>
      <c r="O233">
        <v>17</v>
      </c>
    </row>
    <row r="234" spans="1:15">
      <c r="A234" s="4">
        <v>45958</v>
      </c>
      <c r="B234" t="s">
        <v>94</v>
      </c>
      <c r="C234" t="s">
        <v>77</v>
      </c>
      <c r="D234">
        <v>1250</v>
      </c>
      <c r="E234" t="s">
        <v>62</v>
      </c>
      <c r="F234" t="s">
        <v>324</v>
      </c>
      <c r="G234" t="s">
        <v>46</v>
      </c>
      <c r="H234" t="s">
        <v>70</v>
      </c>
      <c r="I234" t="s">
        <v>64</v>
      </c>
      <c r="J234" t="s">
        <v>57</v>
      </c>
      <c r="K234" t="s">
        <v>58</v>
      </c>
      <c r="L234">
        <v>4</v>
      </c>
      <c r="M234">
        <v>60</v>
      </c>
      <c r="N234" t="s">
        <v>59</v>
      </c>
      <c r="O234">
        <v>20</v>
      </c>
    </row>
    <row r="235" spans="1:15">
      <c r="A235" s="4">
        <v>45982</v>
      </c>
      <c r="B235" t="s">
        <v>97</v>
      </c>
      <c r="C235" t="s">
        <v>81</v>
      </c>
      <c r="D235">
        <v>4840</v>
      </c>
      <c r="E235" t="s">
        <v>53</v>
      </c>
      <c r="F235" t="s">
        <v>325</v>
      </c>
      <c r="G235" t="s">
        <v>46</v>
      </c>
      <c r="H235" t="s">
        <v>55</v>
      </c>
      <c r="I235" t="s">
        <v>88</v>
      </c>
      <c r="J235" t="s">
        <v>57</v>
      </c>
      <c r="K235" t="s">
        <v>66</v>
      </c>
      <c r="L235">
        <v>5</v>
      </c>
      <c r="M235">
        <v>30</v>
      </c>
      <c r="N235" t="s">
        <v>59</v>
      </c>
      <c r="O235">
        <v>3</v>
      </c>
    </row>
    <row r="236" spans="1:15">
      <c r="A236" s="4">
        <v>45721</v>
      </c>
      <c r="B236" t="s">
        <v>80</v>
      </c>
      <c r="C236" t="s">
        <v>81</v>
      </c>
      <c r="D236">
        <v>1140</v>
      </c>
      <c r="E236" t="s">
        <v>62</v>
      </c>
      <c r="F236" t="s">
        <v>326</v>
      </c>
      <c r="G236" t="s">
        <v>45</v>
      </c>
      <c r="H236" t="s">
        <v>70</v>
      </c>
      <c r="I236" t="s">
        <v>84</v>
      </c>
      <c r="J236" t="s">
        <v>57</v>
      </c>
      <c r="K236" t="s">
        <v>76</v>
      </c>
      <c r="L236">
        <v>3</v>
      </c>
      <c r="M236">
        <v>30</v>
      </c>
      <c r="N236" t="s">
        <v>59</v>
      </c>
      <c r="O236">
        <v>14</v>
      </c>
    </row>
    <row r="237" spans="1:15">
      <c r="A237" s="4">
        <v>45799</v>
      </c>
      <c r="B237" t="s">
        <v>97</v>
      </c>
      <c r="C237" t="s">
        <v>77</v>
      </c>
      <c r="D237">
        <v>1330</v>
      </c>
      <c r="E237" t="s">
        <v>62</v>
      </c>
      <c r="F237" t="s">
        <v>327</v>
      </c>
      <c r="G237" t="s">
        <v>45</v>
      </c>
      <c r="H237" t="s">
        <v>55</v>
      </c>
      <c r="I237" t="s">
        <v>88</v>
      </c>
      <c r="J237" t="s">
        <v>65</v>
      </c>
      <c r="K237" t="s">
        <v>66</v>
      </c>
      <c r="L237">
        <v>1</v>
      </c>
      <c r="M237">
        <v>90</v>
      </c>
      <c r="N237" t="s">
        <v>93</v>
      </c>
      <c r="O237">
        <v>6</v>
      </c>
    </row>
    <row r="238" spans="1:15">
      <c r="A238" s="4">
        <v>45714</v>
      </c>
      <c r="B238" t="s">
        <v>85</v>
      </c>
      <c r="C238" t="s">
        <v>61</v>
      </c>
      <c r="D238">
        <v>2250</v>
      </c>
      <c r="E238" t="s">
        <v>53</v>
      </c>
      <c r="F238" t="s">
        <v>328</v>
      </c>
      <c r="G238" t="s">
        <v>46</v>
      </c>
      <c r="H238" t="s">
        <v>70</v>
      </c>
      <c r="I238" t="s">
        <v>92</v>
      </c>
      <c r="J238" t="s">
        <v>65</v>
      </c>
      <c r="K238" t="s">
        <v>66</v>
      </c>
      <c r="L238">
        <v>5</v>
      </c>
      <c r="M238">
        <v>90</v>
      </c>
      <c r="N238" t="s">
        <v>59</v>
      </c>
      <c r="O238">
        <v>12</v>
      </c>
    </row>
    <row r="239" spans="1:15">
      <c r="A239" s="4">
        <v>45687</v>
      </c>
      <c r="B239" t="s">
        <v>60</v>
      </c>
      <c r="C239" t="s">
        <v>61</v>
      </c>
      <c r="D239">
        <v>240</v>
      </c>
      <c r="E239" t="s">
        <v>53</v>
      </c>
      <c r="F239" t="s">
        <v>329</v>
      </c>
      <c r="G239" t="s">
        <v>45</v>
      </c>
      <c r="H239" t="s">
        <v>55</v>
      </c>
      <c r="I239" t="s">
        <v>84</v>
      </c>
      <c r="J239" t="s">
        <v>57</v>
      </c>
      <c r="K239" t="s">
        <v>76</v>
      </c>
      <c r="L239">
        <v>1</v>
      </c>
      <c r="M239">
        <v>60</v>
      </c>
      <c r="N239" t="s">
        <v>93</v>
      </c>
      <c r="O239">
        <v>8</v>
      </c>
    </row>
    <row r="240" spans="1:15">
      <c r="A240" s="4">
        <v>45713</v>
      </c>
      <c r="B240" t="s">
        <v>80</v>
      </c>
      <c r="C240" t="s">
        <v>81</v>
      </c>
      <c r="D240">
        <v>2620</v>
      </c>
      <c r="E240" t="s">
        <v>74</v>
      </c>
      <c r="F240" t="s">
        <v>330</v>
      </c>
      <c r="G240" t="s">
        <v>46</v>
      </c>
      <c r="H240" t="s">
        <v>55</v>
      </c>
      <c r="I240" t="s">
        <v>84</v>
      </c>
      <c r="J240" t="s">
        <v>57</v>
      </c>
      <c r="K240" t="s">
        <v>76</v>
      </c>
      <c r="L240">
        <v>3</v>
      </c>
      <c r="M240">
        <v>90</v>
      </c>
      <c r="N240" t="s">
        <v>59</v>
      </c>
      <c r="O240">
        <v>20</v>
      </c>
    </row>
    <row r="241" spans="1:15">
      <c r="A241" s="4">
        <v>45744</v>
      </c>
      <c r="B241" t="s">
        <v>85</v>
      </c>
      <c r="C241" t="s">
        <v>68</v>
      </c>
      <c r="D241">
        <v>4570</v>
      </c>
      <c r="E241" t="s">
        <v>74</v>
      </c>
      <c r="F241" t="s">
        <v>331</v>
      </c>
      <c r="G241" t="s">
        <v>46</v>
      </c>
      <c r="H241" t="s">
        <v>70</v>
      </c>
      <c r="I241" t="s">
        <v>64</v>
      </c>
      <c r="J241" t="s">
        <v>57</v>
      </c>
      <c r="K241" t="s">
        <v>76</v>
      </c>
      <c r="L241">
        <v>2</v>
      </c>
      <c r="M241">
        <v>45</v>
      </c>
      <c r="N241" t="s">
        <v>71</v>
      </c>
      <c r="O241">
        <v>9</v>
      </c>
    </row>
    <row r="242" spans="1:15">
      <c r="A242" s="4">
        <v>45739</v>
      </c>
      <c r="B242" t="s">
        <v>72</v>
      </c>
      <c r="C242" t="s">
        <v>114</v>
      </c>
      <c r="D242">
        <v>1720</v>
      </c>
      <c r="E242" t="s">
        <v>53</v>
      </c>
      <c r="F242" t="s">
        <v>332</v>
      </c>
      <c r="G242" t="s">
        <v>45</v>
      </c>
      <c r="H242" t="s">
        <v>70</v>
      </c>
      <c r="I242" t="s">
        <v>88</v>
      </c>
      <c r="J242" t="s">
        <v>65</v>
      </c>
      <c r="K242" t="s">
        <v>58</v>
      </c>
      <c r="L242">
        <v>4</v>
      </c>
      <c r="M242">
        <v>60</v>
      </c>
      <c r="N242" t="s">
        <v>59</v>
      </c>
      <c r="O242">
        <v>9</v>
      </c>
    </row>
    <row r="243" spans="1:15">
      <c r="A243" s="4">
        <v>45952</v>
      </c>
      <c r="B243" t="s">
        <v>51</v>
      </c>
      <c r="C243" t="s">
        <v>86</v>
      </c>
      <c r="D243">
        <v>3290</v>
      </c>
      <c r="E243" t="s">
        <v>53</v>
      </c>
      <c r="F243" t="s">
        <v>333</v>
      </c>
      <c r="G243" t="s">
        <v>45</v>
      </c>
      <c r="H243" t="s">
        <v>70</v>
      </c>
      <c r="I243" t="s">
        <v>79</v>
      </c>
      <c r="J243" t="s">
        <v>65</v>
      </c>
      <c r="K243" t="s">
        <v>58</v>
      </c>
      <c r="L243">
        <v>4</v>
      </c>
      <c r="M243">
        <v>45</v>
      </c>
      <c r="N243" t="s">
        <v>71</v>
      </c>
      <c r="O243">
        <v>11</v>
      </c>
    </row>
    <row r="244" spans="1:15">
      <c r="A244" s="4">
        <v>45724</v>
      </c>
      <c r="B244" t="s">
        <v>90</v>
      </c>
      <c r="C244" t="s">
        <v>52</v>
      </c>
      <c r="D244">
        <v>3900</v>
      </c>
      <c r="E244" t="s">
        <v>53</v>
      </c>
      <c r="F244" t="s">
        <v>334</v>
      </c>
      <c r="G244" t="s">
        <v>45</v>
      </c>
      <c r="H244" t="s">
        <v>55</v>
      </c>
      <c r="I244" t="s">
        <v>79</v>
      </c>
      <c r="J244" t="s">
        <v>57</v>
      </c>
      <c r="K244" t="s">
        <v>58</v>
      </c>
      <c r="L244">
        <v>2</v>
      </c>
      <c r="M244">
        <v>60</v>
      </c>
      <c r="N244" t="s">
        <v>93</v>
      </c>
      <c r="O244">
        <v>8</v>
      </c>
    </row>
    <row r="245" spans="1:15">
      <c r="A245" s="4">
        <v>45790</v>
      </c>
      <c r="B245" t="s">
        <v>101</v>
      </c>
      <c r="C245" t="s">
        <v>86</v>
      </c>
      <c r="D245">
        <v>1920</v>
      </c>
      <c r="E245" t="s">
        <v>74</v>
      </c>
      <c r="F245" t="s">
        <v>335</v>
      </c>
      <c r="G245" t="s">
        <v>46</v>
      </c>
      <c r="H245" t="s">
        <v>55</v>
      </c>
      <c r="I245" t="s">
        <v>92</v>
      </c>
      <c r="J245" t="s">
        <v>65</v>
      </c>
      <c r="K245" t="s">
        <v>58</v>
      </c>
      <c r="L245">
        <v>2</v>
      </c>
      <c r="M245">
        <v>45</v>
      </c>
      <c r="N245" t="s">
        <v>71</v>
      </c>
      <c r="O245">
        <v>6</v>
      </c>
    </row>
    <row r="246" spans="1:15">
      <c r="A246" s="4">
        <v>45854</v>
      </c>
      <c r="B246" t="s">
        <v>116</v>
      </c>
      <c r="C246" t="s">
        <v>68</v>
      </c>
      <c r="D246">
        <v>2590</v>
      </c>
      <c r="E246" t="s">
        <v>62</v>
      </c>
      <c r="F246" t="s">
        <v>336</v>
      </c>
      <c r="G246" t="s">
        <v>46</v>
      </c>
      <c r="H246" t="s">
        <v>70</v>
      </c>
      <c r="I246" t="s">
        <v>79</v>
      </c>
      <c r="J246" t="s">
        <v>65</v>
      </c>
      <c r="K246" t="s">
        <v>58</v>
      </c>
      <c r="L246">
        <v>4</v>
      </c>
      <c r="M246">
        <v>30</v>
      </c>
      <c r="N246" t="s">
        <v>71</v>
      </c>
      <c r="O246">
        <v>14</v>
      </c>
    </row>
    <row r="247" spans="1:15">
      <c r="A247" s="4">
        <v>45936</v>
      </c>
      <c r="B247" t="s">
        <v>94</v>
      </c>
      <c r="C247" t="s">
        <v>86</v>
      </c>
      <c r="D247">
        <v>1900</v>
      </c>
      <c r="E247" t="s">
        <v>62</v>
      </c>
      <c r="F247" t="s">
        <v>337</v>
      </c>
      <c r="G247" t="s">
        <v>45</v>
      </c>
      <c r="H247" t="s">
        <v>70</v>
      </c>
      <c r="I247" t="s">
        <v>79</v>
      </c>
      <c r="J247" t="s">
        <v>57</v>
      </c>
      <c r="K247" t="s">
        <v>66</v>
      </c>
      <c r="L247">
        <v>1</v>
      </c>
      <c r="M247">
        <v>60</v>
      </c>
      <c r="N247" t="s">
        <v>93</v>
      </c>
      <c r="O247">
        <v>9</v>
      </c>
    </row>
    <row r="248" spans="1:15">
      <c r="A248" s="4">
        <v>45893</v>
      </c>
      <c r="B248" t="s">
        <v>72</v>
      </c>
      <c r="C248" t="s">
        <v>98</v>
      </c>
      <c r="D248">
        <v>3850</v>
      </c>
      <c r="E248" t="s">
        <v>53</v>
      </c>
      <c r="F248" t="s">
        <v>338</v>
      </c>
      <c r="G248" t="s">
        <v>46</v>
      </c>
      <c r="H248" t="s">
        <v>70</v>
      </c>
      <c r="I248" t="s">
        <v>79</v>
      </c>
      <c r="J248" t="s">
        <v>57</v>
      </c>
      <c r="K248" t="s">
        <v>76</v>
      </c>
      <c r="L248">
        <v>5</v>
      </c>
      <c r="M248">
        <v>90</v>
      </c>
      <c r="N248" t="s">
        <v>59</v>
      </c>
      <c r="O248">
        <v>4</v>
      </c>
    </row>
    <row r="249" spans="1:15">
      <c r="A249" s="4">
        <v>45850</v>
      </c>
      <c r="B249" t="s">
        <v>80</v>
      </c>
      <c r="C249" t="s">
        <v>73</v>
      </c>
      <c r="D249">
        <v>1820</v>
      </c>
      <c r="E249" t="s">
        <v>53</v>
      </c>
      <c r="F249" t="s">
        <v>339</v>
      </c>
      <c r="G249" t="s">
        <v>45</v>
      </c>
      <c r="H249" t="s">
        <v>70</v>
      </c>
      <c r="I249" t="s">
        <v>92</v>
      </c>
      <c r="J249" t="s">
        <v>65</v>
      </c>
      <c r="K249" t="s">
        <v>66</v>
      </c>
      <c r="L249">
        <v>2</v>
      </c>
      <c r="M249">
        <v>30</v>
      </c>
      <c r="N249" t="s">
        <v>71</v>
      </c>
      <c r="O249">
        <v>11</v>
      </c>
    </row>
    <row r="250" spans="1:15">
      <c r="A250" s="4">
        <v>45689</v>
      </c>
      <c r="B250" t="s">
        <v>67</v>
      </c>
      <c r="C250" t="s">
        <v>81</v>
      </c>
      <c r="D250">
        <v>780</v>
      </c>
      <c r="E250" t="s">
        <v>74</v>
      </c>
      <c r="F250" t="s">
        <v>340</v>
      </c>
      <c r="G250" t="s">
        <v>46</v>
      </c>
      <c r="H250" t="s">
        <v>70</v>
      </c>
      <c r="I250" t="s">
        <v>84</v>
      </c>
      <c r="J250" t="s">
        <v>57</v>
      </c>
      <c r="K250" t="s">
        <v>66</v>
      </c>
      <c r="L250">
        <v>1</v>
      </c>
      <c r="M250">
        <v>30</v>
      </c>
      <c r="N250" t="s">
        <v>93</v>
      </c>
      <c r="O250">
        <v>11</v>
      </c>
    </row>
    <row r="251" spans="1:15">
      <c r="A251" s="4">
        <v>45947</v>
      </c>
      <c r="B251" t="s">
        <v>67</v>
      </c>
      <c r="C251" t="s">
        <v>95</v>
      </c>
      <c r="D251">
        <v>220</v>
      </c>
      <c r="E251" t="s">
        <v>74</v>
      </c>
      <c r="F251" t="s">
        <v>341</v>
      </c>
      <c r="G251" t="s">
        <v>45</v>
      </c>
      <c r="H251" t="s">
        <v>55</v>
      </c>
      <c r="I251" t="s">
        <v>64</v>
      </c>
      <c r="J251" t="s">
        <v>57</v>
      </c>
      <c r="K251" t="s">
        <v>76</v>
      </c>
      <c r="L251">
        <v>3</v>
      </c>
      <c r="M251">
        <v>30</v>
      </c>
      <c r="N251" t="s">
        <v>71</v>
      </c>
      <c r="O251">
        <v>18</v>
      </c>
    </row>
    <row r="252" spans="1:15">
      <c r="A252" s="4">
        <v>45694</v>
      </c>
      <c r="B252" t="s">
        <v>94</v>
      </c>
      <c r="C252" t="s">
        <v>52</v>
      </c>
      <c r="D252">
        <v>1750</v>
      </c>
      <c r="E252" t="s">
        <v>74</v>
      </c>
      <c r="F252" t="s">
        <v>342</v>
      </c>
      <c r="G252" t="s">
        <v>45</v>
      </c>
      <c r="H252" t="s">
        <v>55</v>
      </c>
      <c r="I252" t="s">
        <v>64</v>
      </c>
      <c r="J252" t="s">
        <v>65</v>
      </c>
      <c r="K252" t="s">
        <v>76</v>
      </c>
      <c r="L252">
        <v>2</v>
      </c>
      <c r="M252">
        <v>45</v>
      </c>
      <c r="N252" t="s">
        <v>59</v>
      </c>
      <c r="O252">
        <v>17</v>
      </c>
    </row>
    <row r="253" spans="1:15">
      <c r="A253" s="4">
        <v>45702</v>
      </c>
      <c r="B253" t="s">
        <v>72</v>
      </c>
      <c r="C253" t="s">
        <v>73</v>
      </c>
      <c r="D253">
        <v>3840</v>
      </c>
      <c r="E253" t="s">
        <v>74</v>
      </c>
      <c r="F253" t="s">
        <v>343</v>
      </c>
      <c r="G253" t="s">
        <v>45</v>
      </c>
      <c r="H253" t="s">
        <v>55</v>
      </c>
      <c r="I253" t="s">
        <v>88</v>
      </c>
      <c r="J253" t="s">
        <v>57</v>
      </c>
      <c r="K253" t="s">
        <v>58</v>
      </c>
      <c r="L253">
        <v>5</v>
      </c>
      <c r="M253">
        <v>60</v>
      </c>
      <c r="N253" t="s">
        <v>59</v>
      </c>
      <c r="O253">
        <v>16</v>
      </c>
    </row>
    <row r="254" spans="1:15">
      <c r="A254" s="4">
        <v>45971</v>
      </c>
      <c r="B254" t="s">
        <v>97</v>
      </c>
      <c r="C254" t="s">
        <v>77</v>
      </c>
      <c r="D254">
        <v>2500</v>
      </c>
      <c r="E254" t="s">
        <v>74</v>
      </c>
      <c r="F254" t="s">
        <v>344</v>
      </c>
      <c r="G254" t="s">
        <v>45</v>
      </c>
      <c r="H254" t="s">
        <v>55</v>
      </c>
      <c r="I254" t="s">
        <v>88</v>
      </c>
      <c r="J254" t="s">
        <v>65</v>
      </c>
      <c r="K254" t="s">
        <v>66</v>
      </c>
      <c r="L254">
        <v>3</v>
      </c>
      <c r="M254">
        <v>90</v>
      </c>
      <c r="N254" t="s">
        <v>93</v>
      </c>
      <c r="O254">
        <v>3</v>
      </c>
    </row>
    <row r="255" spans="1:15">
      <c r="A255" s="4">
        <v>45929</v>
      </c>
      <c r="B255" t="s">
        <v>67</v>
      </c>
      <c r="C255" t="s">
        <v>86</v>
      </c>
      <c r="D255">
        <v>4860</v>
      </c>
      <c r="E255" t="s">
        <v>53</v>
      </c>
      <c r="F255" t="s">
        <v>345</v>
      </c>
      <c r="G255" t="s">
        <v>46</v>
      </c>
      <c r="H255" t="s">
        <v>55</v>
      </c>
      <c r="I255" t="s">
        <v>56</v>
      </c>
      <c r="J255" t="s">
        <v>65</v>
      </c>
      <c r="K255" t="s">
        <v>58</v>
      </c>
      <c r="L255">
        <v>3</v>
      </c>
      <c r="M255">
        <v>90</v>
      </c>
      <c r="N255" t="s">
        <v>71</v>
      </c>
      <c r="O255">
        <v>7</v>
      </c>
    </row>
    <row r="256" spans="1:15">
      <c r="A256" s="4">
        <v>45835</v>
      </c>
      <c r="B256" t="s">
        <v>94</v>
      </c>
      <c r="C256" t="s">
        <v>52</v>
      </c>
      <c r="D256">
        <v>2650</v>
      </c>
      <c r="E256" t="s">
        <v>62</v>
      </c>
      <c r="F256" t="s">
        <v>346</v>
      </c>
      <c r="G256" t="s">
        <v>45</v>
      </c>
      <c r="H256" t="s">
        <v>70</v>
      </c>
      <c r="I256" t="s">
        <v>79</v>
      </c>
      <c r="J256" t="s">
        <v>57</v>
      </c>
      <c r="K256" t="s">
        <v>66</v>
      </c>
      <c r="L256">
        <v>3</v>
      </c>
      <c r="M256">
        <v>90</v>
      </c>
      <c r="N256" t="s">
        <v>93</v>
      </c>
      <c r="O256">
        <v>3</v>
      </c>
    </row>
    <row r="257" spans="1:15">
      <c r="A257" s="4">
        <v>45763</v>
      </c>
      <c r="B257" t="s">
        <v>101</v>
      </c>
      <c r="C257" t="s">
        <v>52</v>
      </c>
      <c r="D257">
        <v>2360</v>
      </c>
      <c r="E257" t="s">
        <v>62</v>
      </c>
      <c r="F257" t="s">
        <v>347</v>
      </c>
      <c r="G257" t="s">
        <v>45</v>
      </c>
      <c r="H257" t="s">
        <v>55</v>
      </c>
      <c r="I257" t="s">
        <v>64</v>
      </c>
      <c r="J257" t="s">
        <v>57</v>
      </c>
      <c r="K257" t="s">
        <v>76</v>
      </c>
      <c r="L257">
        <v>1</v>
      </c>
      <c r="M257">
        <v>90</v>
      </c>
      <c r="N257" t="s">
        <v>71</v>
      </c>
      <c r="O257">
        <v>3</v>
      </c>
    </row>
    <row r="258" spans="1:15">
      <c r="A258" s="4">
        <v>45729</v>
      </c>
      <c r="B258" t="s">
        <v>80</v>
      </c>
      <c r="C258" t="s">
        <v>61</v>
      </c>
      <c r="D258">
        <v>320</v>
      </c>
      <c r="E258" t="s">
        <v>74</v>
      </c>
      <c r="F258" t="s">
        <v>348</v>
      </c>
      <c r="G258" t="s">
        <v>45</v>
      </c>
      <c r="H258" t="s">
        <v>55</v>
      </c>
      <c r="I258" t="s">
        <v>88</v>
      </c>
      <c r="J258" t="s">
        <v>57</v>
      </c>
      <c r="K258" t="s">
        <v>76</v>
      </c>
      <c r="L258">
        <v>1</v>
      </c>
      <c r="M258">
        <v>60</v>
      </c>
      <c r="N258" t="s">
        <v>93</v>
      </c>
      <c r="O258">
        <v>16</v>
      </c>
    </row>
    <row r="259" spans="1:15">
      <c r="A259" s="4">
        <v>46003</v>
      </c>
      <c r="B259" t="s">
        <v>97</v>
      </c>
      <c r="C259" t="s">
        <v>95</v>
      </c>
      <c r="D259">
        <v>2250</v>
      </c>
      <c r="E259" t="s">
        <v>53</v>
      </c>
      <c r="F259" t="s">
        <v>349</v>
      </c>
      <c r="G259" t="s">
        <v>46</v>
      </c>
      <c r="H259" t="s">
        <v>70</v>
      </c>
      <c r="I259" t="s">
        <v>84</v>
      </c>
      <c r="J259" t="s">
        <v>57</v>
      </c>
      <c r="K259" t="s">
        <v>66</v>
      </c>
      <c r="L259">
        <v>2</v>
      </c>
      <c r="M259">
        <v>30</v>
      </c>
      <c r="N259" t="s">
        <v>93</v>
      </c>
      <c r="O259">
        <v>8</v>
      </c>
    </row>
    <row r="260" spans="1:15">
      <c r="A260" s="4">
        <v>46019</v>
      </c>
      <c r="B260" t="s">
        <v>80</v>
      </c>
      <c r="C260" t="s">
        <v>61</v>
      </c>
      <c r="D260">
        <v>370</v>
      </c>
      <c r="E260" t="s">
        <v>53</v>
      </c>
      <c r="F260" t="s">
        <v>350</v>
      </c>
      <c r="G260" t="s">
        <v>45</v>
      </c>
      <c r="H260" t="s">
        <v>55</v>
      </c>
      <c r="I260" t="s">
        <v>92</v>
      </c>
      <c r="J260" t="s">
        <v>57</v>
      </c>
      <c r="K260" t="s">
        <v>66</v>
      </c>
      <c r="L260">
        <v>1</v>
      </c>
      <c r="M260">
        <v>60</v>
      </c>
      <c r="N260" t="s">
        <v>93</v>
      </c>
      <c r="O260">
        <v>13</v>
      </c>
    </row>
    <row r="261" spans="1:15">
      <c r="A261" s="4">
        <v>45846</v>
      </c>
      <c r="B261" t="s">
        <v>101</v>
      </c>
      <c r="C261" t="s">
        <v>81</v>
      </c>
      <c r="D261">
        <v>4890</v>
      </c>
      <c r="E261" t="s">
        <v>74</v>
      </c>
      <c r="F261" t="s">
        <v>351</v>
      </c>
      <c r="G261" t="s">
        <v>46</v>
      </c>
      <c r="H261" t="s">
        <v>55</v>
      </c>
      <c r="I261" t="s">
        <v>88</v>
      </c>
      <c r="J261" t="s">
        <v>57</v>
      </c>
      <c r="K261" t="s">
        <v>76</v>
      </c>
      <c r="L261">
        <v>4</v>
      </c>
      <c r="M261">
        <v>90</v>
      </c>
      <c r="N261" t="s">
        <v>59</v>
      </c>
      <c r="O261">
        <v>11</v>
      </c>
    </row>
    <row r="262" spans="1:15">
      <c r="A262" s="4">
        <v>45706</v>
      </c>
      <c r="B262" t="s">
        <v>80</v>
      </c>
      <c r="C262" t="s">
        <v>81</v>
      </c>
      <c r="D262">
        <v>1690</v>
      </c>
      <c r="E262" t="s">
        <v>62</v>
      </c>
      <c r="F262" t="s">
        <v>352</v>
      </c>
      <c r="G262" t="s">
        <v>46</v>
      </c>
      <c r="H262" t="s">
        <v>55</v>
      </c>
      <c r="I262" t="s">
        <v>64</v>
      </c>
      <c r="J262" t="s">
        <v>57</v>
      </c>
      <c r="K262" t="s">
        <v>58</v>
      </c>
      <c r="L262">
        <v>2</v>
      </c>
      <c r="M262">
        <v>30</v>
      </c>
      <c r="N262" t="s">
        <v>59</v>
      </c>
      <c r="O262">
        <v>16</v>
      </c>
    </row>
    <row r="263" spans="1:15">
      <c r="A263" s="4">
        <v>45979</v>
      </c>
      <c r="B263" t="s">
        <v>116</v>
      </c>
      <c r="C263" t="s">
        <v>68</v>
      </c>
      <c r="D263">
        <v>4090</v>
      </c>
      <c r="E263" t="s">
        <v>62</v>
      </c>
      <c r="F263" t="s">
        <v>353</v>
      </c>
      <c r="G263" t="s">
        <v>45</v>
      </c>
      <c r="H263" t="s">
        <v>55</v>
      </c>
      <c r="I263" t="s">
        <v>84</v>
      </c>
      <c r="J263" t="s">
        <v>57</v>
      </c>
      <c r="K263" t="s">
        <v>76</v>
      </c>
      <c r="L263">
        <v>4</v>
      </c>
      <c r="M263">
        <v>30</v>
      </c>
      <c r="N263" t="s">
        <v>59</v>
      </c>
      <c r="O263">
        <v>17</v>
      </c>
    </row>
    <row r="264" spans="1:15">
      <c r="A264" s="4">
        <v>45835</v>
      </c>
      <c r="B264" t="s">
        <v>72</v>
      </c>
      <c r="C264" t="s">
        <v>95</v>
      </c>
      <c r="D264">
        <v>3320</v>
      </c>
      <c r="E264" t="s">
        <v>74</v>
      </c>
      <c r="F264" t="s">
        <v>354</v>
      </c>
      <c r="G264" t="s">
        <v>46</v>
      </c>
      <c r="H264" t="s">
        <v>55</v>
      </c>
      <c r="I264" t="s">
        <v>64</v>
      </c>
      <c r="J264" t="s">
        <v>65</v>
      </c>
      <c r="K264" t="s">
        <v>66</v>
      </c>
      <c r="L264">
        <v>4</v>
      </c>
      <c r="M264">
        <v>60</v>
      </c>
      <c r="N264" t="s">
        <v>59</v>
      </c>
      <c r="O264">
        <v>8</v>
      </c>
    </row>
    <row r="265" spans="1:15">
      <c r="A265" s="4">
        <v>45717</v>
      </c>
      <c r="B265" t="s">
        <v>116</v>
      </c>
      <c r="C265" t="s">
        <v>61</v>
      </c>
      <c r="D265">
        <v>1910</v>
      </c>
      <c r="E265" t="s">
        <v>53</v>
      </c>
      <c r="F265" t="s">
        <v>355</v>
      </c>
      <c r="G265" t="s">
        <v>46</v>
      </c>
      <c r="H265" t="s">
        <v>55</v>
      </c>
      <c r="I265" t="s">
        <v>84</v>
      </c>
      <c r="J265" t="s">
        <v>57</v>
      </c>
      <c r="K265" t="s">
        <v>58</v>
      </c>
      <c r="L265">
        <v>2</v>
      </c>
      <c r="M265">
        <v>30</v>
      </c>
      <c r="N265" t="s">
        <v>59</v>
      </c>
      <c r="O265">
        <v>18</v>
      </c>
    </row>
    <row r="266" spans="1:15">
      <c r="A266" s="4">
        <v>45999</v>
      </c>
      <c r="B266" t="s">
        <v>90</v>
      </c>
      <c r="C266" t="s">
        <v>52</v>
      </c>
      <c r="D266">
        <v>720</v>
      </c>
      <c r="E266" t="s">
        <v>62</v>
      </c>
      <c r="F266" t="s">
        <v>356</v>
      </c>
      <c r="G266" t="s">
        <v>45</v>
      </c>
      <c r="H266" t="s">
        <v>55</v>
      </c>
      <c r="I266" t="s">
        <v>56</v>
      </c>
      <c r="J266" t="s">
        <v>65</v>
      </c>
      <c r="K266" t="s">
        <v>58</v>
      </c>
      <c r="L266">
        <v>4</v>
      </c>
      <c r="M266">
        <v>30</v>
      </c>
      <c r="N266" t="s">
        <v>71</v>
      </c>
      <c r="O266">
        <v>6</v>
      </c>
    </row>
    <row r="267" spans="1:15">
      <c r="A267" s="4">
        <v>45750</v>
      </c>
      <c r="B267" t="s">
        <v>109</v>
      </c>
      <c r="C267" t="s">
        <v>98</v>
      </c>
      <c r="D267">
        <v>2180</v>
      </c>
      <c r="E267" t="s">
        <v>53</v>
      </c>
      <c r="F267" t="s">
        <v>357</v>
      </c>
      <c r="G267" t="s">
        <v>46</v>
      </c>
      <c r="H267" t="s">
        <v>70</v>
      </c>
      <c r="I267" t="s">
        <v>84</v>
      </c>
      <c r="J267" t="s">
        <v>57</v>
      </c>
      <c r="K267" t="s">
        <v>66</v>
      </c>
      <c r="L267">
        <v>2</v>
      </c>
      <c r="M267">
        <v>60</v>
      </c>
      <c r="N267" t="s">
        <v>71</v>
      </c>
      <c r="O267">
        <v>8</v>
      </c>
    </row>
    <row r="268" spans="1:15">
      <c r="A268" s="4">
        <v>45669</v>
      </c>
      <c r="B268" t="s">
        <v>80</v>
      </c>
      <c r="C268" t="s">
        <v>77</v>
      </c>
      <c r="D268">
        <v>1740</v>
      </c>
      <c r="E268" t="s">
        <v>53</v>
      </c>
      <c r="F268" t="s">
        <v>358</v>
      </c>
      <c r="G268" t="s">
        <v>45</v>
      </c>
      <c r="H268" t="s">
        <v>55</v>
      </c>
      <c r="I268" t="s">
        <v>79</v>
      </c>
      <c r="J268" t="s">
        <v>65</v>
      </c>
      <c r="K268" t="s">
        <v>76</v>
      </c>
      <c r="L268">
        <v>3</v>
      </c>
      <c r="M268">
        <v>45</v>
      </c>
      <c r="N268" t="s">
        <v>71</v>
      </c>
      <c r="O268">
        <v>8</v>
      </c>
    </row>
    <row r="269" spans="1:15">
      <c r="A269" s="4">
        <v>45931</v>
      </c>
      <c r="B269" t="s">
        <v>67</v>
      </c>
      <c r="C269" t="s">
        <v>95</v>
      </c>
      <c r="D269">
        <v>3510</v>
      </c>
      <c r="E269" t="s">
        <v>62</v>
      </c>
      <c r="F269" t="s">
        <v>359</v>
      </c>
      <c r="G269" t="s">
        <v>46</v>
      </c>
      <c r="H269" t="s">
        <v>55</v>
      </c>
      <c r="I269" t="s">
        <v>84</v>
      </c>
      <c r="J269" t="s">
        <v>65</v>
      </c>
      <c r="K269" t="s">
        <v>58</v>
      </c>
      <c r="L269">
        <v>3</v>
      </c>
      <c r="M269">
        <v>30</v>
      </c>
      <c r="N269" t="s">
        <v>59</v>
      </c>
      <c r="O269">
        <v>11</v>
      </c>
    </row>
    <row r="270" spans="1:15">
      <c r="A270" s="4">
        <v>45940</v>
      </c>
      <c r="B270" t="s">
        <v>67</v>
      </c>
      <c r="C270" t="s">
        <v>98</v>
      </c>
      <c r="D270">
        <v>330</v>
      </c>
      <c r="E270" t="s">
        <v>53</v>
      </c>
      <c r="F270" t="s">
        <v>360</v>
      </c>
      <c r="G270" t="s">
        <v>46</v>
      </c>
      <c r="H270" t="s">
        <v>55</v>
      </c>
      <c r="I270" t="s">
        <v>92</v>
      </c>
      <c r="J270" t="s">
        <v>57</v>
      </c>
      <c r="K270" t="s">
        <v>66</v>
      </c>
      <c r="L270">
        <v>1</v>
      </c>
      <c r="M270">
        <v>90</v>
      </c>
      <c r="N270" t="s">
        <v>59</v>
      </c>
      <c r="O270">
        <v>12</v>
      </c>
    </row>
    <row r="271" spans="1:15">
      <c r="A271" s="4">
        <v>46019</v>
      </c>
      <c r="B271" t="s">
        <v>97</v>
      </c>
      <c r="C271" t="s">
        <v>114</v>
      </c>
      <c r="D271">
        <v>3190</v>
      </c>
      <c r="E271" t="s">
        <v>62</v>
      </c>
      <c r="F271" t="s">
        <v>361</v>
      </c>
      <c r="G271" t="s">
        <v>45</v>
      </c>
      <c r="H271" t="s">
        <v>55</v>
      </c>
      <c r="I271" t="s">
        <v>84</v>
      </c>
      <c r="J271" t="s">
        <v>65</v>
      </c>
      <c r="K271" t="s">
        <v>76</v>
      </c>
      <c r="L271">
        <v>3</v>
      </c>
      <c r="M271">
        <v>60</v>
      </c>
      <c r="N271" t="s">
        <v>71</v>
      </c>
      <c r="O271">
        <v>12</v>
      </c>
    </row>
    <row r="272" spans="1:15">
      <c r="A272" s="4">
        <v>45763</v>
      </c>
      <c r="B272" t="s">
        <v>116</v>
      </c>
      <c r="C272" t="s">
        <v>95</v>
      </c>
      <c r="D272">
        <v>590</v>
      </c>
      <c r="E272" t="s">
        <v>74</v>
      </c>
      <c r="F272" t="s">
        <v>362</v>
      </c>
      <c r="G272" t="s">
        <v>46</v>
      </c>
      <c r="H272" t="s">
        <v>70</v>
      </c>
      <c r="I272" t="s">
        <v>79</v>
      </c>
      <c r="J272" t="s">
        <v>65</v>
      </c>
      <c r="K272" t="s">
        <v>58</v>
      </c>
      <c r="L272">
        <v>4</v>
      </c>
      <c r="M272">
        <v>90</v>
      </c>
      <c r="N272" t="s">
        <v>93</v>
      </c>
      <c r="O272">
        <v>20</v>
      </c>
    </row>
    <row r="273" spans="1:15">
      <c r="A273" s="4">
        <v>45815</v>
      </c>
      <c r="B273" t="s">
        <v>67</v>
      </c>
      <c r="C273" t="s">
        <v>98</v>
      </c>
      <c r="D273">
        <v>2070</v>
      </c>
      <c r="E273" t="s">
        <v>62</v>
      </c>
      <c r="F273" t="s">
        <v>363</v>
      </c>
      <c r="G273" t="s">
        <v>46</v>
      </c>
      <c r="H273" t="s">
        <v>70</v>
      </c>
      <c r="I273" t="s">
        <v>92</v>
      </c>
      <c r="J273" t="s">
        <v>65</v>
      </c>
      <c r="K273" t="s">
        <v>66</v>
      </c>
      <c r="L273">
        <v>3</v>
      </c>
      <c r="M273">
        <v>30</v>
      </c>
      <c r="N273" t="s">
        <v>93</v>
      </c>
      <c r="O273">
        <v>15</v>
      </c>
    </row>
    <row r="274" spans="1:15">
      <c r="A274" s="4">
        <v>45943</v>
      </c>
      <c r="B274" t="s">
        <v>90</v>
      </c>
      <c r="C274" t="s">
        <v>81</v>
      </c>
      <c r="D274">
        <v>2840</v>
      </c>
      <c r="E274" t="s">
        <v>74</v>
      </c>
      <c r="F274" t="s">
        <v>364</v>
      </c>
      <c r="G274" t="s">
        <v>46</v>
      </c>
      <c r="H274" t="s">
        <v>55</v>
      </c>
      <c r="I274" t="s">
        <v>92</v>
      </c>
      <c r="J274" t="s">
        <v>57</v>
      </c>
      <c r="K274" t="s">
        <v>76</v>
      </c>
      <c r="L274">
        <v>3</v>
      </c>
      <c r="M274">
        <v>60</v>
      </c>
      <c r="N274" t="s">
        <v>59</v>
      </c>
      <c r="O274">
        <v>14</v>
      </c>
    </row>
    <row r="275" spans="1:15">
      <c r="A275" s="4">
        <v>45900</v>
      </c>
      <c r="B275" t="s">
        <v>51</v>
      </c>
      <c r="C275" t="s">
        <v>52</v>
      </c>
      <c r="D275">
        <v>4310</v>
      </c>
      <c r="E275" t="s">
        <v>74</v>
      </c>
      <c r="F275" t="s">
        <v>365</v>
      </c>
      <c r="G275" t="s">
        <v>46</v>
      </c>
      <c r="H275" t="s">
        <v>70</v>
      </c>
      <c r="I275" t="s">
        <v>64</v>
      </c>
      <c r="J275" t="s">
        <v>57</v>
      </c>
      <c r="K275" t="s">
        <v>66</v>
      </c>
      <c r="L275">
        <v>2</v>
      </c>
      <c r="M275">
        <v>30</v>
      </c>
      <c r="N275" t="s">
        <v>59</v>
      </c>
      <c r="O275">
        <v>19</v>
      </c>
    </row>
    <row r="276" spans="1:15">
      <c r="A276" s="4">
        <v>45866</v>
      </c>
      <c r="B276" t="s">
        <v>72</v>
      </c>
      <c r="C276" t="s">
        <v>98</v>
      </c>
      <c r="D276">
        <v>2840</v>
      </c>
      <c r="E276" t="s">
        <v>53</v>
      </c>
      <c r="F276" t="s">
        <v>366</v>
      </c>
      <c r="G276" t="s">
        <v>46</v>
      </c>
      <c r="H276" t="s">
        <v>70</v>
      </c>
      <c r="I276" t="s">
        <v>92</v>
      </c>
      <c r="J276" t="s">
        <v>57</v>
      </c>
      <c r="K276" t="s">
        <v>58</v>
      </c>
      <c r="L276">
        <v>2</v>
      </c>
      <c r="M276">
        <v>45</v>
      </c>
      <c r="N276" t="s">
        <v>71</v>
      </c>
      <c r="O276">
        <v>15</v>
      </c>
    </row>
    <row r="277" spans="1:15">
      <c r="A277" s="4">
        <v>45839</v>
      </c>
      <c r="B277" t="s">
        <v>60</v>
      </c>
      <c r="C277" t="s">
        <v>68</v>
      </c>
      <c r="D277">
        <v>1910</v>
      </c>
      <c r="E277" t="s">
        <v>62</v>
      </c>
      <c r="F277" t="s">
        <v>367</v>
      </c>
      <c r="G277" t="s">
        <v>46</v>
      </c>
      <c r="H277" t="s">
        <v>55</v>
      </c>
      <c r="I277" t="s">
        <v>92</v>
      </c>
      <c r="J277" t="s">
        <v>57</v>
      </c>
      <c r="K277" t="s">
        <v>76</v>
      </c>
      <c r="L277">
        <v>3</v>
      </c>
      <c r="M277">
        <v>45</v>
      </c>
      <c r="N277" t="s">
        <v>93</v>
      </c>
      <c r="O277">
        <v>13</v>
      </c>
    </row>
    <row r="278" spans="1:15">
      <c r="A278" s="4">
        <v>45985</v>
      </c>
      <c r="B278" t="s">
        <v>67</v>
      </c>
      <c r="C278" t="s">
        <v>81</v>
      </c>
      <c r="D278">
        <v>3090</v>
      </c>
      <c r="E278" t="s">
        <v>74</v>
      </c>
      <c r="F278" t="s">
        <v>368</v>
      </c>
      <c r="G278" t="s">
        <v>46</v>
      </c>
      <c r="H278" t="s">
        <v>55</v>
      </c>
      <c r="I278" t="s">
        <v>88</v>
      </c>
      <c r="J278" t="s">
        <v>65</v>
      </c>
      <c r="K278" t="s">
        <v>58</v>
      </c>
      <c r="L278">
        <v>4</v>
      </c>
      <c r="M278">
        <v>60</v>
      </c>
      <c r="N278" t="s">
        <v>93</v>
      </c>
      <c r="O278">
        <v>11</v>
      </c>
    </row>
    <row r="279" spans="1:15">
      <c r="A279" s="4">
        <v>45820</v>
      </c>
      <c r="B279" t="s">
        <v>72</v>
      </c>
      <c r="C279" t="s">
        <v>73</v>
      </c>
      <c r="D279">
        <v>4260</v>
      </c>
      <c r="E279" t="s">
        <v>53</v>
      </c>
      <c r="F279" t="s">
        <v>369</v>
      </c>
      <c r="G279" t="s">
        <v>45</v>
      </c>
      <c r="H279" t="s">
        <v>70</v>
      </c>
      <c r="I279" t="s">
        <v>56</v>
      </c>
      <c r="J279" t="s">
        <v>65</v>
      </c>
      <c r="K279" t="s">
        <v>66</v>
      </c>
      <c r="L279">
        <v>3</v>
      </c>
      <c r="M279">
        <v>60</v>
      </c>
      <c r="N279" t="s">
        <v>93</v>
      </c>
      <c r="O279">
        <v>5</v>
      </c>
    </row>
    <row r="280" spans="1:15">
      <c r="A280" s="4">
        <v>45663</v>
      </c>
      <c r="B280" t="s">
        <v>116</v>
      </c>
      <c r="C280" t="s">
        <v>86</v>
      </c>
      <c r="D280">
        <v>530</v>
      </c>
      <c r="E280" t="s">
        <v>74</v>
      </c>
      <c r="F280" t="s">
        <v>370</v>
      </c>
      <c r="G280" t="s">
        <v>46</v>
      </c>
      <c r="H280" t="s">
        <v>70</v>
      </c>
      <c r="I280" t="s">
        <v>79</v>
      </c>
      <c r="J280" t="s">
        <v>57</v>
      </c>
      <c r="K280" t="s">
        <v>76</v>
      </c>
      <c r="L280">
        <v>1</v>
      </c>
      <c r="M280">
        <v>30</v>
      </c>
      <c r="N280" t="s">
        <v>71</v>
      </c>
      <c r="O280">
        <v>7</v>
      </c>
    </row>
    <row r="281" spans="1:15">
      <c r="A281" s="4">
        <v>45793</v>
      </c>
      <c r="B281" t="s">
        <v>85</v>
      </c>
      <c r="C281" t="s">
        <v>68</v>
      </c>
      <c r="D281">
        <v>4470</v>
      </c>
      <c r="E281" t="s">
        <v>62</v>
      </c>
      <c r="F281" t="s">
        <v>371</v>
      </c>
      <c r="G281" t="s">
        <v>46</v>
      </c>
      <c r="H281" t="s">
        <v>70</v>
      </c>
      <c r="I281" t="s">
        <v>56</v>
      </c>
      <c r="J281" t="s">
        <v>57</v>
      </c>
      <c r="K281" t="s">
        <v>76</v>
      </c>
      <c r="L281">
        <v>4</v>
      </c>
      <c r="M281">
        <v>90</v>
      </c>
      <c r="N281" t="s">
        <v>93</v>
      </c>
      <c r="O281">
        <v>9</v>
      </c>
    </row>
    <row r="282" spans="1:15">
      <c r="A282" s="4">
        <v>45908</v>
      </c>
      <c r="B282" t="s">
        <v>94</v>
      </c>
      <c r="C282" t="s">
        <v>68</v>
      </c>
      <c r="D282">
        <v>3210</v>
      </c>
      <c r="E282" t="s">
        <v>53</v>
      </c>
      <c r="F282" t="s">
        <v>372</v>
      </c>
      <c r="G282" t="s">
        <v>46</v>
      </c>
      <c r="H282" t="s">
        <v>70</v>
      </c>
      <c r="I282" t="s">
        <v>79</v>
      </c>
      <c r="J282" t="s">
        <v>57</v>
      </c>
      <c r="K282" t="s">
        <v>76</v>
      </c>
      <c r="L282">
        <v>2</v>
      </c>
      <c r="M282">
        <v>30</v>
      </c>
      <c r="N282" t="s">
        <v>59</v>
      </c>
      <c r="O282">
        <v>16</v>
      </c>
    </row>
    <row r="283" spans="1:15">
      <c r="A283" s="4">
        <v>45984</v>
      </c>
      <c r="B283" t="s">
        <v>116</v>
      </c>
      <c r="C283" t="s">
        <v>68</v>
      </c>
      <c r="D283">
        <v>270</v>
      </c>
      <c r="E283" t="s">
        <v>62</v>
      </c>
      <c r="F283" t="s">
        <v>373</v>
      </c>
      <c r="G283" t="s">
        <v>45</v>
      </c>
      <c r="H283" t="s">
        <v>55</v>
      </c>
      <c r="I283" t="s">
        <v>79</v>
      </c>
      <c r="J283" t="s">
        <v>57</v>
      </c>
      <c r="K283" t="s">
        <v>76</v>
      </c>
      <c r="L283">
        <v>5</v>
      </c>
      <c r="M283">
        <v>60</v>
      </c>
      <c r="N283" t="s">
        <v>71</v>
      </c>
      <c r="O283">
        <v>4</v>
      </c>
    </row>
    <row r="284" spans="1:15">
      <c r="A284" s="4">
        <v>45926</v>
      </c>
      <c r="B284" t="s">
        <v>85</v>
      </c>
      <c r="C284" t="s">
        <v>95</v>
      </c>
      <c r="D284">
        <v>4300</v>
      </c>
      <c r="E284" t="s">
        <v>62</v>
      </c>
      <c r="F284" t="s">
        <v>374</v>
      </c>
      <c r="G284" t="s">
        <v>46</v>
      </c>
      <c r="H284" t="s">
        <v>55</v>
      </c>
      <c r="I284" t="s">
        <v>92</v>
      </c>
      <c r="J284" t="s">
        <v>65</v>
      </c>
      <c r="K284" t="s">
        <v>76</v>
      </c>
      <c r="L284">
        <v>1</v>
      </c>
      <c r="M284">
        <v>45</v>
      </c>
      <c r="N284" t="s">
        <v>59</v>
      </c>
      <c r="O284">
        <v>5</v>
      </c>
    </row>
    <row r="285" spans="1:15">
      <c r="A285" s="4">
        <v>45965</v>
      </c>
      <c r="B285" t="s">
        <v>97</v>
      </c>
      <c r="C285" t="s">
        <v>114</v>
      </c>
      <c r="D285">
        <v>430</v>
      </c>
      <c r="E285" t="s">
        <v>53</v>
      </c>
      <c r="F285" t="s">
        <v>375</v>
      </c>
      <c r="G285" t="s">
        <v>45</v>
      </c>
      <c r="H285" t="s">
        <v>70</v>
      </c>
      <c r="I285" t="s">
        <v>64</v>
      </c>
      <c r="J285" t="s">
        <v>65</v>
      </c>
      <c r="K285" t="s">
        <v>58</v>
      </c>
      <c r="L285">
        <v>1</v>
      </c>
      <c r="M285">
        <v>30</v>
      </c>
      <c r="N285" t="s">
        <v>93</v>
      </c>
      <c r="O285">
        <v>12</v>
      </c>
    </row>
    <row r="286" spans="1:15">
      <c r="A286" s="4">
        <v>45854</v>
      </c>
      <c r="B286" t="s">
        <v>85</v>
      </c>
      <c r="C286" t="s">
        <v>61</v>
      </c>
      <c r="D286">
        <v>3600</v>
      </c>
      <c r="E286" t="s">
        <v>62</v>
      </c>
      <c r="F286" t="s">
        <v>376</v>
      </c>
      <c r="G286" t="s">
        <v>46</v>
      </c>
      <c r="H286" t="s">
        <v>55</v>
      </c>
      <c r="I286" t="s">
        <v>56</v>
      </c>
      <c r="J286" t="s">
        <v>57</v>
      </c>
      <c r="K286" t="s">
        <v>66</v>
      </c>
      <c r="L286">
        <v>5</v>
      </c>
      <c r="M286">
        <v>30</v>
      </c>
      <c r="N286" t="s">
        <v>93</v>
      </c>
      <c r="O286">
        <v>8</v>
      </c>
    </row>
    <row r="287" spans="1:15">
      <c r="A287" s="4">
        <v>45770</v>
      </c>
      <c r="B287" t="s">
        <v>85</v>
      </c>
      <c r="C287" t="s">
        <v>61</v>
      </c>
      <c r="D287">
        <v>1360</v>
      </c>
      <c r="E287" t="s">
        <v>53</v>
      </c>
      <c r="F287" t="s">
        <v>377</v>
      </c>
      <c r="G287" t="s">
        <v>45</v>
      </c>
      <c r="H287" t="s">
        <v>70</v>
      </c>
      <c r="I287" t="s">
        <v>92</v>
      </c>
      <c r="J287" t="s">
        <v>57</v>
      </c>
      <c r="K287" t="s">
        <v>58</v>
      </c>
      <c r="L287">
        <v>3</v>
      </c>
      <c r="M287">
        <v>60</v>
      </c>
      <c r="N287" t="s">
        <v>59</v>
      </c>
      <c r="O287">
        <v>11</v>
      </c>
    </row>
    <row r="288" spans="1:15">
      <c r="A288" s="4">
        <v>45696</v>
      </c>
      <c r="B288" t="s">
        <v>116</v>
      </c>
      <c r="C288" t="s">
        <v>61</v>
      </c>
      <c r="D288">
        <v>1210</v>
      </c>
      <c r="E288" t="s">
        <v>74</v>
      </c>
      <c r="F288" t="s">
        <v>378</v>
      </c>
      <c r="G288" t="s">
        <v>45</v>
      </c>
      <c r="H288" t="s">
        <v>70</v>
      </c>
      <c r="I288" t="s">
        <v>88</v>
      </c>
      <c r="J288" t="s">
        <v>57</v>
      </c>
      <c r="K288" t="s">
        <v>76</v>
      </c>
      <c r="L288">
        <v>5</v>
      </c>
      <c r="M288">
        <v>45</v>
      </c>
      <c r="N288" t="s">
        <v>71</v>
      </c>
      <c r="O288">
        <v>3</v>
      </c>
    </row>
    <row r="289" spans="1:15">
      <c r="A289" s="4">
        <v>45922</v>
      </c>
      <c r="B289" t="s">
        <v>101</v>
      </c>
      <c r="C289" t="s">
        <v>68</v>
      </c>
      <c r="D289">
        <v>1140</v>
      </c>
      <c r="E289" t="s">
        <v>74</v>
      </c>
      <c r="F289" t="s">
        <v>379</v>
      </c>
      <c r="G289" t="s">
        <v>45</v>
      </c>
      <c r="H289" t="s">
        <v>55</v>
      </c>
      <c r="I289" t="s">
        <v>56</v>
      </c>
      <c r="J289" t="s">
        <v>57</v>
      </c>
      <c r="K289" t="s">
        <v>66</v>
      </c>
      <c r="L289">
        <v>3</v>
      </c>
      <c r="M289">
        <v>60</v>
      </c>
      <c r="N289" t="s">
        <v>71</v>
      </c>
      <c r="O289">
        <v>14</v>
      </c>
    </row>
    <row r="290" spans="1:15">
      <c r="A290" s="4">
        <v>45867</v>
      </c>
      <c r="B290" t="s">
        <v>116</v>
      </c>
      <c r="C290" t="s">
        <v>95</v>
      </c>
      <c r="D290">
        <v>1100</v>
      </c>
      <c r="E290" t="s">
        <v>74</v>
      </c>
      <c r="F290" t="s">
        <v>380</v>
      </c>
      <c r="G290" t="s">
        <v>45</v>
      </c>
      <c r="H290" t="s">
        <v>70</v>
      </c>
      <c r="I290" t="s">
        <v>79</v>
      </c>
      <c r="J290" t="s">
        <v>65</v>
      </c>
      <c r="K290" t="s">
        <v>76</v>
      </c>
      <c r="L290">
        <v>3</v>
      </c>
      <c r="M290">
        <v>60</v>
      </c>
      <c r="N290" t="s">
        <v>59</v>
      </c>
      <c r="O290">
        <v>16</v>
      </c>
    </row>
    <row r="291" spans="1:15">
      <c r="A291" s="4">
        <v>45911</v>
      </c>
      <c r="B291" t="s">
        <v>67</v>
      </c>
      <c r="C291" t="s">
        <v>86</v>
      </c>
      <c r="D291">
        <v>1250</v>
      </c>
      <c r="E291" t="s">
        <v>53</v>
      </c>
      <c r="F291" t="s">
        <v>381</v>
      </c>
      <c r="G291" t="s">
        <v>45</v>
      </c>
      <c r="H291" t="s">
        <v>70</v>
      </c>
      <c r="I291" t="s">
        <v>64</v>
      </c>
      <c r="J291" t="s">
        <v>57</v>
      </c>
      <c r="K291" t="s">
        <v>58</v>
      </c>
      <c r="L291">
        <v>3</v>
      </c>
      <c r="M291">
        <v>45</v>
      </c>
      <c r="N291" t="s">
        <v>59</v>
      </c>
      <c r="O291">
        <v>11</v>
      </c>
    </row>
    <row r="292" spans="1:15">
      <c r="A292" s="4">
        <v>45889</v>
      </c>
      <c r="B292" t="s">
        <v>116</v>
      </c>
      <c r="C292" t="s">
        <v>114</v>
      </c>
      <c r="D292">
        <v>1050</v>
      </c>
      <c r="E292" t="s">
        <v>53</v>
      </c>
      <c r="F292" t="s">
        <v>382</v>
      </c>
      <c r="G292" t="s">
        <v>45</v>
      </c>
      <c r="H292" t="s">
        <v>55</v>
      </c>
      <c r="I292" t="s">
        <v>56</v>
      </c>
      <c r="J292" t="s">
        <v>65</v>
      </c>
      <c r="K292" t="s">
        <v>66</v>
      </c>
      <c r="L292">
        <v>4</v>
      </c>
      <c r="M292">
        <v>30</v>
      </c>
      <c r="N292" t="s">
        <v>93</v>
      </c>
      <c r="O292">
        <v>7</v>
      </c>
    </row>
    <row r="293" spans="1:15">
      <c r="A293" s="4">
        <v>45815</v>
      </c>
      <c r="B293" t="s">
        <v>101</v>
      </c>
      <c r="C293" t="s">
        <v>98</v>
      </c>
      <c r="D293">
        <v>1560</v>
      </c>
      <c r="E293" t="s">
        <v>53</v>
      </c>
      <c r="F293" t="s">
        <v>383</v>
      </c>
      <c r="G293" t="s">
        <v>45</v>
      </c>
      <c r="H293" t="s">
        <v>55</v>
      </c>
      <c r="I293" t="s">
        <v>79</v>
      </c>
      <c r="J293" t="s">
        <v>65</v>
      </c>
      <c r="K293" t="s">
        <v>76</v>
      </c>
      <c r="L293">
        <v>3</v>
      </c>
      <c r="M293">
        <v>90</v>
      </c>
      <c r="N293" t="s">
        <v>93</v>
      </c>
      <c r="O293">
        <v>3</v>
      </c>
    </row>
    <row r="294" spans="1:15">
      <c r="A294" s="4">
        <v>46002</v>
      </c>
      <c r="B294" t="s">
        <v>97</v>
      </c>
      <c r="C294" t="s">
        <v>95</v>
      </c>
      <c r="D294">
        <v>1700</v>
      </c>
      <c r="E294" t="s">
        <v>74</v>
      </c>
      <c r="F294" t="s">
        <v>384</v>
      </c>
      <c r="G294" t="s">
        <v>45</v>
      </c>
      <c r="H294" t="s">
        <v>55</v>
      </c>
      <c r="I294" t="s">
        <v>64</v>
      </c>
      <c r="J294" t="s">
        <v>65</v>
      </c>
      <c r="K294" t="s">
        <v>58</v>
      </c>
      <c r="L294">
        <v>1</v>
      </c>
      <c r="M294">
        <v>30</v>
      </c>
      <c r="N294" t="s">
        <v>59</v>
      </c>
      <c r="O294">
        <v>15</v>
      </c>
    </row>
    <row r="295" spans="1:15">
      <c r="A295" s="4">
        <v>45781</v>
      </c>
      <c r="B295" t="s">
        <v>90</v>
      </c>
      <c r="C295" t="s">
        <v>73</v>
      </c>
      <c r="D295">
        <v>1980</v>
      </c>
      <c r="E295" t="s">
        <v>74</v>
      </c>
      <c r="F295" t="s">
        <v>385</v>
      </c>
      <c r="G295" t="s">
        <v>45</v>
      </c>
      <c r="H295" t="s">
        <v>70</v>
      </c>
      <c r="I295" t="s">
        <v>84</v>
      </c>
      <c r="J295" t="s">
        <v>57</v>
      </c>
      <c r="K295" t="s">
        <v>66</v>
      </c>
      <c r="L295">
        <v>1</v>
      </c>
      <c r="M295">
        <v>90</v>
      </c>
      <c r="N295" t="s">
        <v>93</v>
      </c>
      <c r="O295">
        <v>8</v>
      </c>
    </row>
    <row r="296" spans="1:15">
      <c r="A296" s="4">
        <v>45946</v>
      </c>
      <c r="B296" t="s">
        <v>97</v>
      </c>
      <c r="C296" t="s">
        <v>98</v>
      </c>
      <c r="D296">
        <v>4910</v>
      </c>
      <c r="E296" t="s">
        <v>53</v>
      </c>
      <c r="F296" t="s">
        <v>386</v>
      </c>
      <c r="G296" t="s">
        <v>46</v>
      </c>
      <c r="H296" t="s">
        <v>55</v>
      </c>
      <c r="I296" t="s">
        <v>56</v>
      </c>
      <c r="J296" t="s">
        <v>65</v>
      </c>
      <c r="K296" t="s">
        <v>58</v>
      </c>
      <c r="L296">
        <v>1</v>
      </c>
      <c r="M296">
        <v>60</v>
      </c>
      <c r="N296" t="s">
        <v>71</v>
      </c>
      <c r="O296">
        <v>20</v>
      </c>
    </row>
    <row r="297" spans="1:15">
      <c r="A297" s="4">
        <v>45932</v>
      </c>
      <c r="B297" t="s">
        <v>67</v>
      </c>
      <c r="C297" t="s">
        <v>98</v>
      </c>
      <c r="D297">
        <v>3020</v>
      </c>
      <c r="E297" t="s">
        <v>74</v>
      </c>
      <c r="F297" t="s">
        <v>387</v>
      </c>
      <c r="G297" t="s">
        <v>45</v>
      </c>
      <c r="H297" t="s">
        <v>70</v>
      </c>
      <c r="I297" t="s">
        <v>88</v>
      </c>
      <c r="J297" t="s">
        <v>65</v>
      </c>
      <c r="K297" t="s">
        <v>58</v>
      </c>
      <c r="L297">
        <v>1</v>
      </c>
      <c r="M297">
        <v>60</v>
      </c>
      <c r="N297" t="s">
        <v>71</v>
      </c>
      <c r="O297">
        <v>19</v>
      </c>
    </row>
    <row r="298" spans="1:15">
      <c r="A298" s="4">
        <v>45916</v>
      </c>
      <c r="B298" t="s">
        <v>60</v>
      </c>
      <c r="C298" t="s">
        <v>61</v>
      </c>
      <c r="D298">
        <v>2250</v>
      </c>
      <c r="E298" t="s">
        <v>74</v>
      </c>
      <c r="F298" t="s">
        <v>388</v>
      </c>
      <c r="G298" t="s">
        <v>46</v>
      </c>
      <c r="H298" t="s">
        <v>70</v>
      </c>
      <c r="I298" t="s">
        <v>64</v>
      </c>
      <c r="J298" t="s">
        <v>65</v>
      </c>
      <c r="K298" t="s">
        <v>58</v>
      </c>
      <c r="L298">
        <v>2</v>
      </c>
      <c r="M298">
        <v>90</v>
      </c>
      <c r="N298" t="s">
        <v>71</v>
      </c>
      <c r="O298">
        <v>4</v>
      </c>
    </row>
    <row r="299" spans="1:15">
      <c r="A299" s="4">
        <v>45857</v>
      </c>
      <c r="B299" t="s">
        <v>109</v>
      </c>
      <c r="C299" t="s">
        <v>68</v>
      </c>
      <c r="D299">
        <v>850</v>
      </c>
      <c r="E299" t="s">
        <v>53</v>
      </c>
      <c r="F299" t="s">
        <v>389</v>
      </c>
      <c r="G299" t="s">
        <v>46</v>
      </c>
      <c r="H299" t="s">
        <v>55</v>
      </c>
      <c r="I299" t="s">
        <v>79</v>
      </c>
      <c r="J299" t="s">
        <v>57</v>
      </c>
      <c r="K299" t="s">
        <v>66</v>
      </c>
      <c r="L299">
        <v>3</v>
      </c>
      <c r="M299">
        <v>90</v>
      </c>
      <c r="N299" t="s">
        <v>59</v>
      </c>
      <c r="O299">
        <v>19</v>
      </c>
    </row>
    <row r="300" spans="1:15">
      <c r="A300" s="4">
        <v>45677</v>
      </c>
      <c r="B300" t="s">
        <v>90</v>
      </c>
      <c r="C300" t="s">
        <v>73</v>
      </c>
      <c r="D300">
        <v>560</v>
      </c>
      <c r="E300" t="s">
        <v>53</v>
      </c>
      <c r="F300" t="s">
        <v>390</v>
      </c>
      <c r="G300" t="s">
        <v>45</v>
      </c>
      <c r="H300" t="s">
        <v>55</v>
      </c>
      <c r="I300" t="s">
        <v>84</v>
      </c>
      <c r="J300" t="s">
        <v>65</v>
      </c>
      <c r="K300" t="s">
        <v>66</v>
      </c>
      <c r="L300">
        <v>5</v>
      </c>
      <c r="M300">
        <v>90</v>
      </c>
      <c r="N300" t="s">
        <v>59</v>
      </c>
      <c r="O300">
        <v>10</v>
      </c>
    </row>
    <row r="301" spans="1:15">
      <c r="A301" s="4">
        <v>45744</v>
      </c>
      <c r="B301" t="s">
        <v>80</v>
      </c>
      <c r="C301" t="s">
        <v>52</v>
      </c>
      <c r="D301">
        <v>2960</v>
      </c>
      <c r="E301" t="s">
        <v>74</v>
      </c>
      <c r="F301" t="s">
        <v>391</v>
      </c>
      <c r="G301" t="s">
        <v>45</v>
      </c>
      <c r="H301" t="s">
        <v>55</v>
      </c>
      <c r="I301" t="s">
        <v>88</v>
      </c>
      <c r="J301" t="s">
        <v>57</v>
      </c>
      <c r="K301" t="s">
        <v>76</v>
      </c>
      <c r="L301">
        <v>4</v>
      </c>
      <c r="M301">
        <v>45</v>
      </c>
      <c r="N301" t="s">
        <v>93</v>
      </c>
      <c r="O301">
        <v>17</v>
      </c>
    </row>
    <row r="302" spans="1:15">
      <c r="A302" s="4">
        <v>45666</v>
      </c>
      <c r="B302" t="s">
        <v>85</v>
      </c>
      <c r="C302" t="s">
        <v>81</v>
      </c>
      <c r="D302">
        <v>3860</v>
      </c>
      <c r="E302" t="s">
        <v>62</v>
      </c>
      <c r="F302" t="s">
        <v>392</v>
      </c>
      <c r="G302" t="s">
        <v>45</v>
      </c>
      <c r="H302" t="s">
        <v>70</v>
      </c>
      <c r="I302" t="s">
        <v>79</v>
      </c>
      <c r="J302" t="s">
        <v>65</v>
      </c>
      <c r="K302" t="s">
        <v>58</v>
      </c>
      <c r="L302">
        <v>1</v>
      </c>
      <c r="M302">
        <v>45</v>
      </c>
      <c r="N302" t="s">
        <v>93</v>
      </c>
      <c r="O302">
        <v>18</v>
      </c>
    </row>
    <row r="303" spans="1:15">
      <c r="A303" s="4">
        <v>46000</v>
      </c>
      <c r="B303" t="s">
        <v>116</v>
      </c>
      <c r="C303" t="s">
        <v>86</v>
      </c>
      <c r="D303">
        <v>4640</v>
      </c>
      <c r="E303" t="s">
        <v>62</v>
      </c>
      <c r="F303" t="s">
        <v>393</v>
      </c>
      <c r="G303" t="s">
        <v>46</v>
      </c>
      <c r="H303" t="s">
        <v>55</v>
      </c>
      <c r="I303" t="s">
        <v>64</v>
      </c>
      <c r="J303" t="s">
        <v>65</v>
      </c>
      <c r="K303" t="s">
        <v>58</v>
      </c>
      <c r="L303">
        <v>4</v>
      </c>
      <c r="M303">
        <v>60</v>
      </c>
      <c r="N303" t="s">
        <v>71</v>
      </c>
      <c r="O303">
        <v>9</v>
      </c>
    </row>
    <row r="304" spans="1:15">
      <c r="A304" s="4">
        <v>45752</v>
      </c>
      <c r="B304" t="s">
        <v>51</v>
      </c>
      <c r="C304" t="s">
        <v>114</v>
      </c>
      <c r="D304">
        <v>3890</v>
      </c>
      <c r="E304" t="s">
        <v>74</v>
      </c>
      <c r="F304" t="s">
        <v>394</v>
      </c>
      <c r="G304" t="s">
        <v>46</v>
      </c>
      <c r="H304" t="s">
        <v>70</v>
      </c>
      <c r="I304" t="s">
        <v>56</v>
      </c>
      <c r="J304" t="s">
        <v>57</v>
      </c>
      <c r="K304" t="s">
        <v>76</v>
      </c>
      <c r="L304">
        <v>1</v>
      </c>
      <c r="M304">
        <v>60</v>
      </c>
      <c r="N304" t="s">
        <v>71</v>
      </c>
      <c r="O304">
        <v>6</v>
      </c>
    </row>
    <row r="305" spans="1:15">
      <c r="A305" s="4">
        <v>45727</v>
      </c>
      <c r="B305" t="s">
        <v>60</v>
      </c>
      <c r="C305" t="s">
        <v>68</v>
      </c>
      <c r="D305">
        <v>4550</v>
      </c>
      <c r="E305" t="s">
        <v>74</v>
      </c>
      <c r="F305" t="s">
        <v>395</v>
      </c>
      <c r="G305" t="s">
        <v>45</v>
      </c>
      <c r="H305" t="s">
        <v>55</v>
      </c>
      <c r="I305" t="s">
        <v>92</v>
      </c>
      <c r="J305" t="s">
        <v>65</v>
      </c>
      <c r="K305" t="s">
        <v>66</v>
      </c>
      <c r="L305">
        <v>2</v>
      </c>
      <c r="M305">
        <v>45</v>
      </c>
      <c r="N305" t="s">
        <v>71</v>
      </c>
      <c r="O305">
        <v>8</v>
      </c>
    </row>
    <row r="306" spans="1:15">
      <c r="A306" s="4">
        <v>45963</v>
      </c>
      <c r="B306" t="s">
        <v>67</v>
      </c>
      <c r="C306" t="s">
        <v>86</v>
      </c>
      <c r="D306">
        <v>2060</v>
      </c>
      <c r="E306" t="s">
        <v>74</v>
      </c>
      <c r="F306" t="s">
        <v>396</v>
      </c>
      <c r="G306" t="s">
        <v>46</v>
      </c>
      <c r="H306" t="s">
        <v>55</v>
      </c>
      <c r="I306" t="s">
        <v>92</v>
      </c>
      <c r="J306" t="s">
        <v>65</v>
      </c>
      <c r="K306" t="s">
        <v>76</v>
      </c>
      <c r="L306">
        <v>1</v>
      </c>
      <c r="M306">
        <v>45</v>
      </c>
      <c r="N306" t="s">
        <v>71</v>
      </c>
      <c r="O306">
        <v>18</v>
      </c>
    </row>
    <row r="307" spans="1:15">
      <c r="A307" s="4">
        <v>45731</v>
      </c>
      <c r="B307" t="s">
        <v>90</v>
      </c>
      <c r="C307" t="s">
        <v>98</v>
      </c>
      <c r="D307">
        <v>2080</v>
      </c>
      <c r="E307" t="s">
        <v>53</v>
      </c>
      <c r="F307" t="s">
        <v>397</v>
      </c>
      <c r="G307" t="s">
        <v>46</v>
      </c>
      <c r="H307" t="s">
        <v>55</v>
      </c>
      <c r="I307" t="s">
        <v>64</v>
      </c>
      <c r="J307" t="s">
        <v>65</v>
      </c>
      <c r="K307" t="s">
        <v>76</v>
      </c>
      <c r="L307">
        <v>2</v>
      </c>
      <c r="M307">
        <v>30</v>
      </c>
      <c r="N307" t="s">
        <v>93</v>
      </c>
      <c r="O307">
        <v>11</v>
      </c>
    </row>
    <row r="308" spans="1:15">
      <c r="A308" s="4">
        <v>45689</v>
      </c>
      <c r="B308" t="s">
        <v>90</v>
      </c>
      <c r="C308" t="s">
        <v>61</v>
      </c>
      <c r="D308">
        <v>1840</v>
      </c>
      <c r="E308" t="s">
        <v>62</v>
      </c>
      <c r="F308" t="s">
        <v>398</v>
      </c>
      <c r="G308" t="s">
        <v>45</v>
      </c>
      <c r="H308" t="s">
        <v>70</v>
      </c>
      <c r="I308" t="s">
        <v>79</v>
      </c>
      <c r="J308" t="s">
        <v>57</v>
      </c>
      <c r="K308" t="s">
        <v>66</v>
      </c>
      <c r="L308">
        <v>3</v>
      </c>
      <c r="M308">
        <v>90</v>
      </c>
      <c r="N308" t="s">
        <v>93</v>
      </c>
      <c r="O308">
        <v>9</v>
      </c>
    </row>
    <row r="309" spans="1:15">
      <c r="A309" s="4">
        <v>45935</v>
      </c>
      <c r="B309" t="s">
        <v>60</v>
      </c>
      <c r="C309" t="s">
        <v>81</v>
      </c>
      <c r="D309">
        <v>3850</v>
      </c>
      <c r="E309" t="s">
        <v>62</v>
      </c>
      <c r="F309" t="s">
        <v>399</v>
      </c>
      <c r="G309" t="s">
        <v>45</v>
      </c>
      <c r="H309" t="s">
        <v>70</v>
      </c>
      <c r="I309" t="s">
        <v>88</v>
      </c>
      <c r="J309" t="s">
        <v>57</v>
      </c>
      <c r="K309" t="s">
        <v>76</v>
      </c>
      <c r="L309">
        <v>4</v>
      </c>
      <c r="M309">
        <v>60</v>
      </c>
      <c r="N309" t="s">
        <v>59</v>
      </c>
      <c r="O309">
        <v>17</v>
      </c>
    </row>
    <row r="310" spans="1:15">
      <c r="A310" s="4">
        <v>45811</v>
      </c>
      <c r="B310" t="s">
        <v>116</v>
      </c>
      <c r="C310" t="s">
        <v>86</v>
      </c>
      <c r="D310">
        <v>4220</v>
      </c>
      <c r="E310" t="s">
        <v>62</v>
      </c>
      <c r="F310" t="s">
        <v>400</v>
      </c>
      <c r="G310" t="s">
        <v>45</v>
      </c>
      <c r="H310" t="s">
        <v>70</v>
      </c>
      <c r="I310" t="s">
        <v>84</v>
      </c>
      <c r="J310" t="s">
        <v>65</v>
      </c>
      <c r="K310" t="s">
        <v>58</v>
      </c>
      <c r="L310">
        <v>4</v>
      </c>
      <c r="M310">
        <v>45</v>
      </c>
      <c r="N310" t="s">
        <v>59</v>
      </c>
      <c r="O310">
        <v>14</v>
      </c>
    </row>
    <row r="311" spans="1:15">
      <c r="A311" s="4">
        <v>45709</v>
      </c>
      <c r="B311" t="s">
        <v>85</v>
      </c>
      <c r="C311" t="s">
        <v>52</v>
      </c>
      <c r="D311">
        <v>1210</v>
      </c>
      <c r="E311" t="s">
        <v>62</v>
      </c>
      <c r="F311" t="s">
        <v>401</v>
      </c>
      <c r="G311" t="s">
        <v>45</v>
      </c>
      <c r="H311" t="s">
        <v>70</v>
      </c>
      <c r="I311" t="s">
        <v>79</v>
      </c>
      <c r="J311" t="s">
        <v>65</v>
      </c>
      <c r="K311" t="s">
        <v>66</v>
      </c>
      <c r="L311">
        <v>3</v>
      </c>
      <c r="M311">
        <v>30</v>
      </c>
      <c r="N311" t="s">
        <v>59</v>
      </c>
      <c r="O311">
        <v>6</v>
      </c>
    </row>
    <row r="312" spans="1:15">
      <c r="A312" s="4">
        <v>45926</v>
      </c>
      <c r="B312" t="s">
        <v>116</v>
      </c>
      <c r="C312" t="s">
        <v>98</v>
      </c>
      <c r="D312">
        <v>3290</v>
      </c>
      <c r="E312" t="s">
        <v>53</v>
      </c>
      <c r="F312" t="s">
        <v>402</v>
      </c>
      <c r="G312" t="s">
        <v>45</v>
      </c>
      <c r="H312" t="s">
        <v>55</v>
      </c>
      <c r="I312" t="s">
        <v>79</v>
      </c>
      <c r="J312" t="s">
        <v>57</v>
      </c>
      <c r="K312" t="s">
        <v>76</v>
      </c>
      <c r="L312">
        <v>3</v>
      </c>
      <c r="M312">
        <v>60</v>
      </c>
      <c r="N312" t="s">
        <v>59</v>
      </c>
      <c r="O312">
        <v>8</v>
      </c>
    </row>
    <row r="313" spans="1:15">
      <c r="A313" s="4">
        <v>45776</v>
      </c>
      <c r="B313" t="s">
        <v>80</v>
      </c>
      <c r="C313" t="s">
        <v>81</v>
      </c>
      <c r="D313">
        <v>2980</v>
      </c>
      <c r="E313" t="s">
        <v>62</v>
      </c>
      <c r="F313" t="s">
        <v>403</v>
      </c>
      <c r="G313" t="s">
        <v>46</v>
      </c>
      <c r="H313" t="s">
        <v>70</v>
      </c>
      <c r="I313" t="s">
        <v>88</v>
      </c>
      <c r="J313" t="s">
        <v>57</v>
      </c>
      <c r="K313" t="s">
        <v>76</v>
      </c>
      <c r="L313">
        <v>3</v>
      </c>
      <c r="M313">
        <v>30</v>
      </c>
      <c r="N313" t="s">
        <v>71</v>
      </c>
      <c r="O313">
        <v>20</v>
      </c>
    </row>
    <row r="314" spans="1:15">
      <c r="A314" s="4">
        <v>45678</v>
      </c>
      <c r="B314" t="s">
        <v>109</v>
      </c>
      <c r="C314" t="s">
        <v>98</v>
      </c>
      <c r="D314">
        <v>690</v>
      </c>
      <c r="E314" t="s">
        <v>62</v>
      </c>
      <c r="F314" t="s">
        <v>404</v>
      </c>
      <c r="G314" t="s">
        <v>45</v>
      </c>
      <c r="H314" t="s">
        <v>55</v>
      </c>
      <c r="I314" t="s">
        <v>84</v>
      </c>
      <c r="J314" t="s">
        <v>57</v>
      </c>
      <c r="K314" t="s">
        <v>66</v>
      </c>
      <c r="L314">
        <v>3</v>
      </c>
      <c r="M314">
        <v>45</v>
      </c>
      <c r="N314" t="s">
        <v>93</v>
      </c>
      <c r="O314">
        <v>12</v>
      </c>
    </row>
    <row r="315" spans="1:15">
      <c r="A315" s="4">
        <v>45677</v>
      </c>
      <c r="B315" t="s">
        <v>85</v>
      </c>
      <c r="C315" t="s">
        <v>95</v>
      </c>
      <c r="D315">
        <v>2870</v>
      </c>
      <c r="E315" t="s">
        <v>74</v>
      </c>
      <c r="F315" t="s">
        <v>405</v>
      </c>
      <c r="G315" t="s">
        <v>46</v>
      </c>
      <c r="H315" t="s">
        <v>55</v>
      </c>
      <c r="I315" t="s">
        <v>79</v>
      </c>
      <c r="J315" t="s">
        <v>65</v>
      </c>
      <c r="K315" t="s">
        <v>66</v>
      </c>
      <c r="L315">
        <v>2</v>
      </c>
      <c r="M315">
        <v>30</v>
      </c>
      <c r="N315" t="s">
        <v>71</v>
      </c>
      <c r="O315">
        <v>10</v>
      </c>
    </row>
    <row r="316" spans="1:15">
      <c r="A316" s="4">
        <v>45783</v>
      </c>
      <c r="B316" t="s">
        <v>51</v>
      </c>
      <c r="C316" t="s">
        <v>52</v>
      </c>
      <c r="D316">
        <v>4460</v>
      </c>
      <c r="E316" t="s">
        <v>74</v>
      </c>
      <c r="F316" t="s">
        <v>406</v>
      </c>
      <c r="G316" t="s">
        <v>46</v>
      </c>
      <c r="H316" t="s">
        <v>70</v>
      </c>
      <c r="I316" t="s">
        <v>56</v>
      </c>
      <c r="J316" t="s">
        <v>65</v>
      </c>
      <c r="K316" t="s">
        <v>76</v>
      </c>
      <c r="L316">
        <v>2</v>
      </c>
      <c r="M316">
        <v>60</v>
      </c>
      <c r="N316" t="s">
        <v>93</v>
      </c>
      <c r="O316">
        <v>17</v>
      </c>
    </row>
    <row r="317" spans="1:15">
      <c r="A317" s="4">
        <v>45663</v>
      </c>
      <c r="B317" t="s">
        <v>109</v>
      </c>
      <c r="C317" t="s">
        <v>77</v>
      </c>
      <c r="D317">
        <v>180</v>
      </c>
      <c r="E317" t="s">
        <v>53</v>
      </c>
      <c r="F317" t="s">
        <v>407</v>
      </c>
      <c r="G317" t="s">
        <v>46</v>
      </c>
      <c r="H317" t="s">
        <v>70</v>
      </c>
      <c r="I317" t="s">
        <v>79</v>
      </c>
      <c r="J317" t="s">
        <v>57</v>
      </c>
      <c r="K317" t="s">
        <v>58</v>
      </c>
      <c r="L317">
        <v>3</v>
      </c>
      <c r="M317">
        <v>45</v>
      </c>
      <c r="N317" t="s">
        <v>93</v>
      </c>
      <c r="O317">
        <v>9</v>
      </c>
    </row>
    <row r="318" spans="1:15">
      <c r="A318" s="4">
        <v>45781</v>
      </c>
      <c r="B318" t="s">
        <v>60</v>
      </c>
      <c r="C318" t="s">
        <v>98</v>
      </c>
      <c r="D318">
        <v>3070</v>
      </c>
      <c r="E318" t="s">
        <v>53</v>
      </c>
      <c r="F318" t="s">
        <v>408</v>
      </c>
      <c r="G318" t="s">
        <v>45</v>
      </c>
      <c r="H318" t="s">
        <v>55</v>
      </c>
      <c r="I318" t="s">
        <v>84</v>
      </c>
      <c r="J318" t="s">
        <v>57</v>
      </c>
      <c r="K318" t="s">
        <v>58</v>
      </c>
      <c r="L318">
        <v>5</v>
      </c>
      <c r="M318">
        <v>45</v>
      </c>
      <c r="N318" t="s">
        <v>59</v>
      </c>
      <c r="O318">
        <v>10</v>
      </c>
    </row>
    <row r="319" spans="1:15">
      <c r="A319" s="4">
        <v>45918</v>
      </c>
      <c r="B319" t="s">
        <v>80</v>
      </c>
      <c r="C319" t="s">
        <v>98</v>
      </c>
      <c r="D319">
        <v>2340</v>
      </c>
      <c r="E319" t="s">
        <v>53</v>
      </c>
      <c r="F319" t="s">
        <v>409</v>
      </c>
      <c r="G319" t="s">
        <v>46</v>
      </c>
      <c r="H319" t="s">
        <v>70</v>
      </c>
      <c r="I319" t="s">
        <v>56</v>
      </c>
      <c r="J319" t="s">
        <v>57</v>
      </c>
      <c r="K319" t="s">
        <v>66</v>
      </c>
      <c r="L319">
        <v>3</v>
      </c>
      <c r="M319">
        <v>45</v>
      </c>
      <c r="N319" t="s">
        <v>93</v>
      </c>
      <c r="O319">
        <v>3</v>
      </c>
    </row>
    <row r="320" spans="1:15">
      <c r="A320" s="4">
        <v>45804</v>
      </c>
      <c r="B320" t="s">
        <v>101</v>
      </c>
      <c r="C320" t="s">
        <v>86</v>
      </c>
      <c r="D320">
        <v>4470</v>
      </c>
      <c r="E320" t="s">
        <v>74</v>
      </c>
      <c r="F320" t="s">
        <v>410</v>
      </c>
      <c r="G320" t="s">
        <v>46</v>
      </c>
      <c r="H320" t="s">
        <v>70</v>
      </c>
      <c r="I320" t="s">
        <v>88</v>
      </c>
      <c r="J320" t="s">
        <v>65</v>
      </c>
      <c r="K320" t="s">
        <v>66</v>
      </c>
      <c r="L320">
        <v>4</v>
      </c>
      <c r="M320">
        <v>90</v>
      </c>
      <c r="N320" t="s">
        <v>71</v>
      </c>
      <c r="O320">
        <v>15</v>
      </c>
    </row>
    <row r="321" spans="1:15">
      <c r="A321" s="4">
        <v>45925</v>
      </c>
      <c r="B321" t="s">
        <v>97</v>
      </c>
      <c r="C321" t="s">
        <v>86</v>
      </c>
      <c r="D321">
        <v>2300</v>
      </c>
      <c r="E321" t="s">
        <v>62</v>
      </c>
      <c r="F321" t="s">
        <v>411</v>
      </c>
      <c r="G321" t="s">
        <v>46</v>
      </c>
      <c r="H321" t="s">
        <v>70</v>
      </c>
      <c r="I321" t="s">
        <v>56</v>
      </c>
      <c r="J321" t="s">
        <v>65</v>
      </c>
      <c r="K321" t="s">
        <v>66</v>
      </c>
      <c r="L321">
        <v>1</v>
      </c>
      <c r="M321">
        <v>45</v>
      </c>
      <c r="N321" t="s">
        <v>71</v>
      </c>
      <c r="O321">
        <v>4</v>
      </c>
    </row>
    <row r="322" spans="1:15">
      <c r="A322" s="4">
        <v>45671</v>
      </c>
      <c r="B322" t="s">
        <v>51</v>
      </c>
      <c r="C322" t="s">
        <v>98</v>
      </c>
      <c r="D322">
        <v>1270</v>
      </c>
      <c r="E322" t="s">
        <v>53</v>
      </c>
      <c r="F322" t="s">
        <v>412</v>
      </c>
      <c r="G322" t="s">
        <v>45</v>
      </c>
      <c r="H322" t="s">
        <v>70</v>
      </c>
      <c r="I322" t="s">
        <v>64</v>
      </c>
      <c r="J322" t="s">
        <v>57</v>
      </c>
      <c r="K322" t="s">
        <v>76</v>
      </c>
      <c r="L322">
        <v>1</v>
      </c>
      <c r="M322">
        <v>45</v>
      </c>
      <c r="N322" t="s">
        <v>71</v>
      </c>
      <c r="O322">
        <v>10</v>
      </c>
    </row>
    <row r="323" spans="1:15">
      <c r="A323" s="4">
        <v>45818</v>
      </c>
      <c r="B323" t="s">
        <v>94</v>
      </c>
      <c r="C323" t="s">
        <v>81</v>
      </c>
      <c r="D323">
        <v>3670</v>
      </c>
      <c r="E323" t="s">
        <v>74</v>
      </c>
      <c r="F323" t="s">
        <v>413</v>
      </c>
      <c r="G323" t="s">
        <v>46</v>
      </c>
      <c r="H323" t="s">
        <v>55</v>
      </c>
      <c r="I323" t="s">
        <v>56</v>
      </c>
      <c r="J323" t="s">
        <v>65</v>
      </c>
      <c r="K323" t="s">
        <v>66</v>
      </c>
      <c r="L323">
        <v>4</v>
      </c>
      <c r="M323">
        <v>30</v>
      </c>
      <c r="N323" t="s">
        <v>71</v>
      </c>
      <c r="O323">
        <v>20</v>
      </c>
    </row>
    <row r="324" spans="1:15">
      <c r="A324" s="4">
        <v>45934</v>
      </c>
      <c r="B324" t="s">
        <v>94</v>
      </c>
      <c r="C324" t="s">
        <v>95</v>
      </c>
      <c r="D324">
        <v>2300</v>
      </c>
      <c r="E324" t="s">
        <v>74</v>
      </c>
      <c r="F324" t="s">
        <v>414</v>
      </c>
      <c r="G324" t="s">
        <v>45</v>
      </c>
      <c r="H324" t="s">
        <v>55</v>
      </c>
      <c r="I324" t="s">
        <v>64</v>
      </c>
      <c r="J324" t="s">
        <v>65</v>
      </c>
      <c r="K324" t="s">
        <v>66</v>
      </c>
      <c r="L324">
        <v>2</v>
      </c>
      <c r="M324">
        <v>60</v>
      </c>
      <c r="N324" t="s">
        <v>93</v>
      </c>
      <c r="O324">
        <v>11</v>
      </c>
    </row>
    <row r="325" spans="1:15">
      <c r="A325" s="4">
        <v>45993</v>
      </c>
      <c r="B325" t="s">
        <v>90</v>
      </c>
      <c r="C325" t="s">
        <v>52</v>
      </c>
      <c r="D325">
        <v>2260</v>
      </c>
      <c r="E325" t="s">
        <v>53</v>
      </c>
      <c r="F325" t="s">
        <v>415</v>
      </c>
      <c r="G325" t="s">
        <v>45</v>
      </c>
      <c r="H325" t="s">
        <v>70</v>
      </c>
      <c r="I325" t="s">
        <v>64</v>
      </c>
      <c r="J325" t="s">
        <v>65</v>
      </c>
      <c r="K325" t="s">
        <v>76</v>
      </c>
      <c r="L325">
        <v>3</v>
      </c>
      <c r="M325">
        <v>60</v>
      </c>
      <c r="N325" t="s">
        <v>93</v>
      </c>
      <c r="O325">
        <v>17</v>
      </c>
    </row>
    <row r="326" spans="1:15">
      <c r="A326" s="4">
        <v>45892</v>
      </c>
      <c r="B326" t="s">
        <v>116</v>
      </c>
      <c r="C326" t="s">
        <v>61</v>
      </c>
      <c r="D326">
        <v>700</v>
      </c>
      <c r="E326" t="s">
        <v>74</v>
      </c>
      <c r="F326" t="s">
        <v>416</v>
      </c>
      <c r="G326" t="s">
        <v>45</v>
      </c>
      <c r="H326" t="s">
        <v>70</v>
      </c>
      <c r="I326" t="s">
        <v>56</v>
      </c>
      <c r="J326" t="s">
        <v>57</v>
      </c>
      <c r="K326" t="s">
        <v>66</v>
      </c>
      <c r="L326">
        <v>2</v>
      </c>
      <c r="M326">
        <v>45</v>
      </c>
      <c r="N326" t="s">
        <v>59</v>
      </c>
      <c r="O326">
        <v>20</v>
      </c>
    </row>
    <row r="327" spans="1:15">
      <c r="A327" s="4">
        <v>45725</v>
      </c>
      <c r="B327" t="s">
        <v>80</v>
      </c>
      <c r="C327" t="s">
        <v>73</v>
      </c>
      <c r="D327">
        <v>1690</v>
      </c>
      <c r="E327" t="s">
        <v>62</v>
      </c>
      <c r="F327" t="s">
        <v>417</v>
      </c>
      <c r="G327" t="s">
        <v>46</v>
      </c>
      <c r="H327" t="s">
        <v>70</v>
      </c>
      <c r="I327" t="s">
        <v>79</v>
      </c>
      <c r="J327" t="s">
        <v>57</v>
      </c>
      <c r="K327" t="s">
        <v>66</v>
      </c>
      <c r="L327">
        <v>2</v>
      </c>
      <c r="M327">
        <v>60</v>
      </c>
      <c r="N327" t="s">
        <v>71</v>
      </c>
      <c r="O327">
        <v>18</v>
      </c>
    </row>
    <row r="328" spans="1:15">
      <c r="A328" s="4">
        <v>46001</v>
      </c>
      <c r="B328" t="s">
        <v>116</v>
      </c>
      <c r="C328" t="s">
        <v>52</v>
      </c>
      <c r="D328">
        <v>2800</v>
      </c>
      <c r="E328" t="s">
        <v>62</v>
      </c>
      <c r="F328" t="s">
        <v>418</v>
      </c>
      <c r="G328" t="s">
        <v>45</v>
      </c>
      <c r="H328" t="s">
        <v>70</v>
      </c>
      <c r="I328" t="s">
        <v>79</v>
      </c>
      <c r="J328" t="s">
        <v>57</v>
      </c>
      <c r="K328" t="s">
        <v>66</v>
      </c>
      <c r="L328">
        <v>3</v>
      </c>
      <c r="M328">
        <v>90</v>
      </c>
      <c r="N328" t="s">
        <v>59</v>
      </c>
      <c r="O328">
        <v>6</v>
      </c>
    </row>
    <row r="329" spans="1:15">
      <c r="A329" s="4">
        <v>45937</v>
      </c>
      <c r="B329" t="s">
        <v>109</v>
      </c>
      <c r="C329" t="s">
        <v>77</v>
      </c>
      <c r="D329">
        <v>2810</v>
      </c>
      <c r="E329" t="s">
        <v>53</v>
      </c>
      <c r="F329" t="s">
        <v>419</v>
      </c>
      <c r="G329" t="s">
        <v>46</v>
      </c>
      <c r="H329" t="s">
        <v>55</v>
      </c>
      <c r="I329" t="s">
        <v>92</v>
      </c>
      <c r="J329" t="s">
        <v>57</v>
      </c>
      <c r="K329" t="s">
        <v>58</v>
      </c>
      <c r="L329">
        <v>3</v>
      </c>
      <c r="M329">
        <v>60</v>
      </c>
      <c r="N329" t="s">
        <v>59</v>
      </c>
      <c r="O329">
        <v>16</v>
      </c>
    </row>
    <row r="330" spans="1:15">
      <c r="A330" s="4">
        <v>45913</v>
      </c>
      <c r="B330" t="s">
        <v>72</v>
      </c>
      <c r="C330" t="s">
        <v>114</v>
      </c>
      <c r="D330">
        <v>2970</v>
      </c>
      <c r="E330" t="s">
        <v>62</v>
      </c>
      <c r="F330" t="s">
        <v>420</v>
      </c>
      <c r="G330" t="s">
        <v>46</v>
      </c>
      <c r="H330" t="s">
        <v>70</v>
      </c>
      <c r="I330" t="s">
        <v>79</v>
      </c>
      <c r="J330" t="s">
        <v>57</v>
      </c>
      <c r="K330" t="s">
        <v>76</v>
      </c>
      <c r="L330">
        <v>3</v>
      </c>
      <c r="M330">
        <v>60</v>
      </c>
      <c r="N330" t="s">
        <v>71</v>
      </c>
      <c r="O330">
        <v>4</v>
      </c>
    </row>
    <row r="331" spans="1:15">
      <c r="A331" s="4">
        <v>46018</v>
      </c>
      <c r="B331" t="s">
        <v>80</v>
      </c>
      <c r="C331" t="s">
        <v>81</v>
      </c>
      <c r="D331">
        <v>1610</v>
      </c>
      <c r="E331" t="s">
        <v>62</v>
      </c>
      <c r="F331" t="s">
        <v>421</v>
      </c>
      <c r="G331" t="s">
        <v>45</v>
      </c>
      <c r="H331" t="s">
        <v>70</v>
      </c>
      <c r="I331" t="s">
        <v>64</v>
      </c>
      <c r="J331" t="s">
        <v>57</v>
      </c>
      <c r="K331" t="s">
        <v>76</v>
      </c>
      <c r="L331">
        <v>3</v>
      </c>
      <c r="M331">
        <v>45</v>
      </c>
      <c r="N331" t="s">
        <v>71</v>
      </c>
      <c r="O331">
        <v>3</v>
      </c>
    </row>
    <row r="332" spans="1:15">
      <c r="A332" s="4">
        <v>45954</v>
      </c>
      <c r="B332" t="s">
        <v>85</v>
      </c>
      <c r="C332" t="s">
        <v>73</v>
      </c>
      <c r="D332">
        <v>3790</v>
      </c>
      <c r="E332" t="s">
        <v>74</v>
      </c>
      <c r="F332" t="s">
        <v>422</v>
      </c>
      <c r="G332" t="s">
        <v>46</v>
      </c>
      <c r="H332" t="s">
        <v>55</v>
      </c>
      <c r="I332" t="s">
        <v>92</v>
      </c>
      <c r="J332" t="s">
        <v>57</v>
      </c>
      <c r="K332" t="s">
        <v>66</v>
      </c>
      <c r="L332">
        <v>2</v>
      </c>
      <c r="M332">
        <v>30</v>
      </c>
      <c r="N332" t="s">
        <v>93</v>
      </c>
      <c r="O332">
        <v>17</v>
      </c>
    </row>
    <row r="333" spans="1:15">
      <c r="A333" s="4">
        <v>45734</v>
      </c>
      <c r="B333" t="s">
        <v>72</v>
      </c>
      <c r="C333" t="s">
        <v>61</v>
      </c>
      <c r="D333">
        <v>3920</v>
      </c>
      <c r="E333" t="s">
        <v>74</v>
      </c>
      <c r="F333" t="s">
        <v>423</v>
      </c>
      <c r="G333" t="s">
        <v>45</v>
      </c>
      <c r="H333" t="s">
        <v>70</v>
      </c>
      <c r="I333" t="s">
        <v>56</v>
      </c>
      <c r="J333" t="s">
        <v>57</v>
      </c>
      <c r="K333" t="s">
        <v>66</v>
      </c>
      <c r="L333">
        <v>5</v>
      </c>
      <c r="M333">
        <v>60</v>
      </c>
      <c r="N333" t="s">
        <v>59</v>
      </c>
      <c r="O333">
        <v>4</v>
      </c>
    </row>
    <row r="334" spans="1:15">
      <c r="A334" s="4">
        <v>46011</v>
      </c>
      <c r="B334" t="s">
        <v>116</v>
      </c>
      <c r="C334" t="s">
        <v>95</v>
      </c>
      <c r="D334">
        <v>3900</v>
      </c>
      <c r="E334" t="s">
        <v>74</v>
      </c>
      <c r="F334" t="s">
        <v>424</v>
      </c>
      <c r="G334" t="s">
        <v>45</v>
      </c>
      <c r="H334" t="s">
        <v>70</v>
      </c>
      <c r="I334" t="s">
        <v>88</v>
      </c>
      <c r="J334" t="s">
        <v>57</v>
      </c>
      <c r="K334" t="s">
        <v>58</v>
      </c>
      <c r="L334">
        <v>1</v>
      </c>
      <c r="M334">
        <v>45</v>
      </c>
      <c r="N334" t="s">
        <v>59</v>
      </c>
      <c r="O334">
        <v>17</v>
      </c>
    </row>
    <row r="335" spans="1:15">
      <c r="A335" s="4">
        <v>45729</v>
      </c>
      <c r="B335" t="s">
        <v>67</v>
      </c>
      <c r="C335" t="s">
        <v>95</v>
      </c>
      <c r="D335">
        <v>1230</v>
      </c>
      <c r="E335" t="s">
        <v>62</v>
      </c>
      <c r="F335" t="s">
        <v>425</v>
      </c>
      <c r="G335" t="s">
        <v>45</v>
      </c>
      <c r="H335" t="s">
        <v>70</v>
      </c>
      <c r="I335" t="s">
        <v>64</v>
      </c>
      <c r="J335" t="s">
        <v>57</v>
      </c>
      <c r="K335" t="s">
        <v>76</v>
      </c>
      <c r="L335">
        <v>4</v>
      </c>
      <c r="M335">
        <v>90</v>
      </c>
      <c r="N335" t="s">
        <v>71</v>
      </c>
      <c r="O335">
        <v>20</v>
      </c>
    </row>
    <row r="336" spans="1:15">
      <c r="A336" s="4">
        <v>45891</v>
      </c>
      <c r="B336" t="s">
        <v>116</v>
      </c>
      <c r="C336" t="s">
        <v>95</v>
      </c>
      <c r="D336">
        <v>3570</v>
      </c>
      <c r="E336" t="s">
        <v>62</v>
      </c>
      <c r="F336" t="s">
        <v>426</v>
      </c>
      <c r="G336" t="s">
        <v>45</v>
      </c>
      <c r="H336" t="s">
        <v>55</v>
      </c>
      <c r="I336" t="s">
        <v>92</v>
      </c>
      <c r="J336" t="s">
        <v>57</v>
      </c>
      <c r="K336" t="s">
        <v>76</v>
      </c>
      <c r="L336">
        <v>4</v>
      </c>
      <c r="M336">
        <v>60</v>
      </c>
      <c r="N336" t="s">
        <v>93</v>
      </c>
      <c r="O336">
        <v>16</v>
      </c>
    </row>
    <row r="337" spans="1:15">
      <c r="A337" s="4">
        <v>45996</v>
      </c>
      <c r="B337" t="s">
        <v>97</v>
      </c>
      <c r="C337" t="s">
        <v>95</v>
      </c>
      <c r="D337">
        <v>540</v>
      </c>
      <c r="E337" t="s">
        <v>74</v>
      </c>
      <c r="F337" t="s">
        <v>427</v>
      </c>
      <c r="G337" t="s">
        <v>45</v>
      </c>
      <c r="H337" t="s">
        <v>55</v>
      </c>
      <c r="I337" t="s">
        <v>92</v>
      </c>
      <c r="J337" t="s">
        <v>65</v>
      </c>
      <c r="K337" t="s">
        <v>58</v>
      </c>
      <c r="L337">
        <v>4</v>
      </c>
      <c r="M337">
        <v>60</v>
      </c>
      <c r="N337" t="s">
        <v>71</v>
      </c>
      <c r="O337">
        <v>8</v>
      </c>
    </row>
    <row r="338" spans="1:15">
      <c r="A338" s="4">
        <v>46007</v>
      </c>
      <c r="B338" t="s">
        <v>72</v>
      </c>
      <c r="C338" t="s">
        <v>81</v>
      </c>
      <c r="D338">
        <v>840</v>
      </c>
      <c r="E338" t="s">
        <v>53</v>
      </c>
      <c r="F338" t="s">
        <v>428</v>
      </c>
      <c r="G338" t="s">
        <v>45</v>
      </c>
      <c r="H338" t="s">
        <v>70</v>
      </c>
      <c r="I338" t="s">
        <v>84</v>
      </c>
      <c r="J338" t="s">
        <v>57</v>
      </c>
      <c r="K338" t="s">
        <v>76</v>
      </c>
      <c r="L338">
        <v>2</v>
      </c>
      <c r="M338">
        <v>30</v>
      </c>
      <c r="N338" t="s">
        <v>93</v>
      </c>
      <c r="O338">
        <v>6</v>
      </c>
    </row>
    <row r="339" spans="1:15">
      <c r="A339" s="4">
        <v>45882</v>
      </c>
      <c r="B339" t="s">
        <v>90</v>
      </c>
      <c r="C339" t="s">
        <v>114</v>
      </c>
      <c r="D339">
        <v>2810</v>
      </c>
      <c r="E339" t="s">
        <v>53</v>
      </c>
      <c r="F339" t="s">
        <v>429</v>
      </c>
      <c r="G339" t="s">
        <v>46</v>
      </c>
      <c r="H339" t="s">
        <v>55</v>
      </c>
      <c r="I339" t="s">
        <v>84</v>
      </c>
      <c r="J339" t="s">
        <v>57</v>
      </c>
      <c r="K339" t="s">
        <v>76</v>
      </c>
      <c r="L339">
        <v>4</v>
      </c>
      <c r="M339">
        <v>30</v>
      </c>
      <c r="N339" t="s">
        <v>93</v>
      </c>
      <c r="O339">
        <v>6</v>
      </c>
    </row>
    <row r="340" spans="1:15">
      <c r="A340" s="4">
        <v>45875</v>
      </c>
      <c r="B340" t="s">
        <v>72</v>
      </c>
      <c r="C340" t="s">
        <v>86</v>
      </c>
      <c r="D340">
        <v>1290</v>
      </c>
      <c r="E340" t="s">
        <v>53</v>
      </c>
      <c r="F340" t="s">
        <v>430</v>
      </c>
      <c r="G340" t="s">
        <v>45</v>
      </c>
      <c r="H340" t="s">
        <v>70</v>
      </c>
      <c r="I340" t="s">
        <v>56</v>
      </c>
      <c r="J340" t="s">
        <v>65</v>
      </c>
      <c r="K340" t="s">
        <v>76</v>
      </c>
      <c r="L340">
        <v>1</v>
      </c>
      <c r="M340">
        <v>45</v>
      </c>
      <c r="N340" t="s">
        <v>59</v>
      </c>
      <c r="O340">
        <v>9</v>
      </c>
    </row>
    <row r="341" spans="1:15">
      <c r="A341" s="4">
        <v>45994</v>
      </c>
      <c r="B341" t="s">
        <v>67</v>
      </c>
      <c r="C341" t="s">
        <v>73</v>
      </c>
      <c r="D341">
        <v>4720</v>
      </c>
      <c r="E341" t="s">
        <v>74</v>
      </c>
      <c r="F341" t="s">
        <v>431</v>
      </c>
      <c r="G341" t="s">
        <v>45</v>
      </c>
      <c r="H341" t="s">
        <v>70</v>
      </c>
      <c r="I341" t="s">
        <v>88</v>
      </c>
      <c r="J341" t="s">
        <v>57</v>
      </c>
      <c r="K341" t="s">
        <v>66</v>
      </c>
      <c r="L341">
        <v>5</v>
      </c>
      <c r="M341">
        <v>90</v>
      </c>
      <c r="N341" t="s">
        <v>59</v>
      </c>
      <c r="O341">
        <v>8</v>
      </c>
    </row>
    <row r="342" spans="1:15">
      <c r="A342" s="4">
        <v>45797</v>
      </c>
      <c r="B342" t="s">
        <v>116</v>
      </c>
      <c r="C342" t="s">
        <v>61</v>
      </c>
      <c r="D342">
        <v>720</v>
      </c>
      <c r="E342" t="s">
        <v>74</v>
      </c>
      <c r="F342" t="s">
        <v>432</v>
      </c>
      <c r="G342" t="s">
        <v>46</v>
      </c>
      <c r="H342" t="s">
        <v>55</v>
      </c>
      <c r="I342" t="s">
        <v>88</v>
      </c>
      <c r="J342" t="s">
        <v>57</v>
      </c>
      <c r="K342" t="s">
        <v>76</v>
      </c>
      <c r="L342">
        <v>2</v>
      </c>
      <c r="M342">
        <v>30</v>
      </c>
      <c r="N342" t="s">
        <v>93</v>
      </c>
      <c r="O342">
        <v>10</v>
      </c>
    </row>
    <row r="343" spans="1:15">
      <c r="A343" s="4">
        <v>46010</v>
      </c>
      <c r="B343" t="s">
        <v>97</v>
      </c>
      <c r="C343" t="s">
        <v>81</v>
      </c>
      <c r="D343">
        <v>2390</v>
      </c>
      <c r="E343" t="s">
        <v>62</v>
      </c>
      <c r="F343" t="s">
        <v>433</v>
      </c>
      <c r="G343" t="s">
        <v>46</v>
      </c>
      <c r="H343" t="s">
        <v>55</v>
      </c>
      <c r="I343" t="s">
        <v>88</v>
      </c>
      <c r="J343" t="s">
        <v>57</v>
      </c>
      <c r="K343" t="s">
        <v>58</v>
      </c>
      <c r="L343">
        <v>2</v>
      </c>
      <c r="M343">
        <v>30</v>
      </c>
      <c r="N343" t="s">
        <v>71</v>
      </c>
      <c r="O343">
        <v>3</v>
      </c>
    </row>
    <row r="344" spans="1:15">
      <c r="A344" s="4">
        <v>45924</v>
      </c>
      <c r="B344" t="s">
        <v>97</v>
      </c>
      <c r="C344" t="s">
        <v>98</v>
      </c>
      <c r="D344">
        <v>740</v>
      </c>
      <c r="E344" t="s">
        <v>62</v>
      </c>
      <c r="F344" t="s">
        <v>434</v>
      </c>
      <c r="G344" t="s">
        <v>46</v>
      </c>
      <c r="H344" t="s">
        <v>55</v>
      </c>
      <c r="I344" t="s">
        <v>92</v>
      </c>
      <c r="J344" t="s">
        <v>57</v>
      </c>
      <c r="K344" t="s">
        <v>66</v>
      </c>
      <c r="L344">
        <v>2</v>
      </c>
      <c r="M344">
        <v>30</v>
      </c>
      <c r="N344" t="s">
        <v>93</v>
      </c>
      <c r="O344">
        <v>3</v>
      </c>
    </row>
    <row r="345" spans="1:15">
      <c r="A345" s="4">
        <v>45954</v>
      </c>
      <c r="B345" t="s">
        <v>67</v>
      </c>
      <c r="C345" t="s">
        <v>81</v>
      </c>
      <c r="D345">
        <v>490</v>
      </c>
      <c r="E345" t="s">
        <v>62</v>
      </c>
      <c r="F345" t="s">
        <v>435</v>
      </c>
      <c r="G345" t="s">
        <v>45</v>
      </c>
      <c r="H345" t="s">
        <v>55</v>
      </c>
      <c r="I345" t="s">
        <v>56</v>
      </c>
      <c r="J345" t="s">
        <v>57</v>
      </c>
      <c r="K345" t="s">
        <v>66</v>
      </c>
      <c r="L345">
        <v>3</v>
      </c>
      <c r="M345">
        <v>90</v>
      </c>
      <c r="N345" t="s">
        <v>93</v>
      </c>
      <c r="O345">
        <v>11</v>
      </c>
    </row>
    <row r="346" spans="1:15">
      <c r="A346" s="4">
        <v>45844</v>
      </c>
      <c r="B346" t="s">
        <v>90</v>
      </c>
      <c r="C346" t="s">
        <v>68</v>
      </c>
      <c r="D346">
        <v>4810</v>
      </c>
      <c r="E346" t="s">
        <v>74</v>
      </c>
      <c r="F346" t="s">
        <v>436</v>
      </c>
      <c r="G346" t="s">
        <v>46</v>
      </c>
      <c r="H346" t="s">
        <v>70</v>
      </c>
      <c r="I346" t="s">
        <v>88</v>
      </c>
      <c r="J346" t="s">
        <v>65</v>
      </c>
      <c r="K346" t="s">
        <v>76</v>
      </c>
      <c r="L346">
        <v>3</v>
      </c>
      <c r="M346">
        <v>45</v>
      </c>
      <c r="N346" t="s">
        <v>93</v>
      </c>
      <c r="O346">
        <v>9</v>
      </c>
    </row>
    <row r="347" spans="1:15">
      <c r="A347" s="4">
        <v>45838</v>
      </c>
      <c r="B347" t="s">
        <v>109</v>
      </c>
      <c r="C347" t="s">
        <v>68</v>
      </c>
      <c r="D347">
        <v>1830</v>
      </c>
      <c r="E347" t="s">
        <v>74</v>
      </c>
      <c r="F347" t="s">
        <v>437</v>
      </c>
      <c r="G347" t="s">
        <v>46</v>
      </c>
      <c r="H347" t="s">
        <v>55</v>
      </c>
      <c r="I347" t="s">
        <v>84</v>
      </c>
      <c r="J347" t="s">
        <v>57</v>
      </c>
      <c r="K347" t="s">
        <v>66</v>
      </c>
      <c r="L347">
        <v>4</v>
      </c>
      <c r="M347">
        <v>30</v>
      </c>
      <c r="N347" t="s">
        <v>59</v>
      </c>
      <c r="O347">
        <v>16</v>
      </c>
    </row>
    <row r="348" spans="1:15">
      <c r="A348" s="4">
        <v>45888</v>
      </c>
      <c r="B348" t="s">
        <v>116</v>
      </c>
      <c r="C348" t="s">
        <v>114</v>
      </c>
      <c r="D348">
        <v>1300</v>
      </c>
      <c r="E348" t="s">
        <v>53</v>
      </c>
      <c r="F348" t="s">
        <v>438</v>
      </c>
      <c r="G348" t="s">
        <v>45</v>
      </c>
      <c r="H348" t="s">
        <v>55</v>
      </c>
      <c r="I348" t="s">
        <v>88</v>
      </c>
      <c r="J348" t="s">
        <v>65</v>
      </c>
      <c r="K348" t="s">
        <v>76</v>
      </c>
      <c r="L348">
        <v>4</v>
      </c>
      <c r="M348">
        <v>60</v>
      </c>
      <c r="N348" t="s">
        <v>71</v>
      </c>
      <c r="O348">
        <v>3</v>
      </c>
    </row>
    <row r="349" spans="1:15">
      <c r="A349" s="4">
        <v>45664</v>
      </c>
      <c r="B349" t="s">
        <v>67</v>
      </c>
      <c r="C349" t="s">
        <v>68</v>
      </c>
      <c r="D349">
        <v>2230</v>
      </c>
      <c r="E349" t="s">
        <v>62</v>
      </c>
      <c r="F349" t="s">
        <v>439</v>
      </c>
      <c r="G349" t="s">
        <v>46</v>
      </c>
      <c r="H349" t="s">
        <v>55</v>
      </c>
      <c r="I349" t="s">
        <v>56</v>
      </c>
      <c r="J349" t="s">
        <v>57</v>
      </c>
      <c r="K349" t="s">
        <v>76</v>
      </c>
      <c r="L349">
        <v>4</v>
      </c>
      <c r="M349">
        <v>60</v>
      </c>
      <c r="N349" t="s">
        <v>59</v>
      </c>
      <c r="O349">
        <v>16</v>
      </c>
    </row>
    <row r="350" spans="1:15">
      <c r="A350" s="4">
        <v>45681</v>
      </c>
      <c r="B350" t="s">
        <v>97</v>
      </c>
      <c r="C350" t="s">
        <v>86</v>
      </c>
      <c r="D350">
        <v>1760</v>
      </c>
      <c r="E350" t="s">
        <v>53</v>
      </c>
      <c r="F350" t="s">
        <v>440</v>
      </c>
      <c r="G350" t="s">
        <v>45</v>
      </c>
      <c r="H350" t="s">
        <v>55</v>
      </c>
      <c r="I350" t="s">
        <v>88</v>
      </c>
      <c r="J350" t="s">
        <v>65</v>
      </c>
      <c r="K350" t="s">
        <v>76</v>
      </c>
      <c r="L350">
        <v>4</v>
      </c>
      <c r="M350">
        <v>45</v>
      </c>
      <c r="N350" t="s">
        <v>59</v>
      </c>
      <c r="O350">
        <v>17</v>
      </c>
    </row>
    <row r="351" spans="1:15">
      <c r="A351" s="4">
        <v>45861</v>
      </c>
      <c r="B351" t="s">
        <v>101</v>
      </c>
      <c r="C351" t="s">
        <v>95</v>
      </c>
      <c r="D351">
        <v>2050</v>
      </c>
      <c r="E351" t="s">
        <v>53</v>
      </c>
      <c r="F351" t="s">
        <v>441</v>
      </c>
      <c r="G351" t="s">
        <v>46</v>
      </c>
      <c r="H351" t="s">
        <v>70</v>
      </c>
      <c r="I351" t="s">
        <v>56</v>
      </c>
      <c r="J351" t="s">
        <v>57</v>
      </c>
      <c r="K351" t="s">
        <v>58</v>
      </c>
      <c r="L351">
        <v>4</v>
      </c>
      <c r="M351">
        <v>30</v>
      </c>
      <c r="N351" t="s">
        <v>71</v>
      </c>
      <c r="O351">
        <v>10</v>
      </c>
    </row>
    <row r="352" spans="1:15">
      <c r="A352" s="4">
        <v>45807</v>
      </c>
      <c r="B352" t="s">
        <v>116</v>
      </c>
      <c r="C352" t="s">
        <v>68</v>
      </c>
      <c r="D352">
        <v>1200</v>
      </c>
      <c r="E352" t="s">
        <v>74</v>
      </c>
      <c r="F352" t="s">
        <v>442</v>
      </c>
      <c r="G352" t="s">
        <v>45</v>
      </c>
      <c r="H352" t="s">
        <v>70</v>
      </c>
      <c r="I352" t="s">
        <v>84</v>
      </c>
      <c r="J352" t="s">
        <v>57</v>
      </c>
      <c r="K352" t="s">
        <v>66</v>
      </c>
      <c r="L352">
        <v>3</v>
      </c>
      <c r="M352">
        <v>90</v>
      </c>
      <c r="N352" t="s">
        <v>71</v>
      </c>
      <c r="O352">
        <v>7</v>
      </c>
    </row>
    <row r="353" spans="1:15">
      <c r="A353" s="4">
        <v>46005</v>
      </c>
      <c r="B353" t="s">
        <v>67</v>
      </c>
      <c r="C353" t="s">
        <v>61</v>
      </c>
      <c r="D353">
        <v>4160</v>
      </c>
      <c r="E353" t="s">
        <v>53</v>
      </c>
      <c r="F353" t="s">
        <v>443</v>
      </c>
      <c r="G353" t="s">
        <v>46</v>
      </c>
      <c r="H353" t="s">
        <v>55</v>
      </c>
      <c r="I353" t="s">
        <v>84</v>
      </c>
      <c r="J353" t="s">
        <v>57</v>
      </c>
      <c r="K353" t="s">
        <v>58</v>
      </c>
      <c r="L353">
        <v>4</v>
      </c>
      <c r="M353">
        <v>30</v>
      </c>
      <c r="N353" t="s">
        <v>93</v>
      </c>
      <c r="O353">
        <v>5</v>
      </c>
    </row>
    <row r="354" spans="1:15">
      <c r="A354" s="4">
        <v>45728</v>
      </c>
      <c r="B354" t="s">
        <v>67</v>
      </c>
      <c r="C354" t="s">
        <v>81</v>
      </c>
      <c r="D354">
        <v>4430</v>
      </c>
      <c r="E354" t="s">
        <v>62</v>
      </c>
      <c r="F354" t="s">
        <v>444</v>
      </c>
      <c r="G354" t="s">
        <v>46</v>
      </c>
      <c r="H354" t="s">
        <v>70</v>
      </c>
      <c r="I354" t="s">
        <v>92</v>
      </c>
      <c r="J354" t="s">
        <v>57</v>
      </c>
      <c r="K354" t="s">
        <v>76</v>
      </c>
      <c r="L354">
        <v>3</v>
      </c>
      <c r="M354">
        <v>60</v>
      </c>
      <c r="N354" t="s">
        <v>59</v>
      </c>
      <c r="O354">
        <v>20</v>
      </c>
    </row>
    <row r="355" spans="1:15">
      <c r="A355" s="4">
        <v>45717</v>
      </c>
      <c r="B355" t="s">
        <v>67</v>
      </c>
      <c r="C355" t="s">
        <v>114</v>
      </c>
      <c r="D355">
        <v>860</v>
      </c>
      <c r="E355" t="s">
        <v>53</v>
      </c>
      <c r="F355" t="s">
        <v>445</v>
      </c>
      <c r="G355" t="s">
        <v>45</v>
      </c>
      <c r="H355" t="s">
        <v>70</v>
      </c>
      <c r="I355" t="s">
        <v>64</v>
      </c>
      <c r="J355" t="s">
        <v>57</v>
      </c>
      <c r="K355" t="s">
        <v>76</v>
      </c>
      <c r="L355">
        <v>4</v>
      </c>
      <c r="M355">
        <v>90</v>
      </c>
      <c r="N355" t="s">
        <v>93</v>
      </c>
      <c r="O355">
        <v>16</v>
      </c>
    </row>
    <row r="356" spans="1:15">
      <c r="A356" s="4">
        <v>45986</v>
      </c>
      <c r="B356" t="s">
        <v>80</v>
      </c>
      <c r="C356" t="s">
        <v>114</v>
      </c>
      <c r="D356">
        <v>880</v>
      </c>
      <c r="E356" t="s">
        <v>62</v>
      </c>
      <c r="F356" t="s">
        <v>446</v>
      </c>
      <c r="G356" t="s">
        <v>45</v>
      </c>
      <c r="H356" t="s">
        <v>70</v>
      </c>
      <c r="I356" t="s">
        <v>79</v>
      </c>
      <c r="J356" t="s">
        <v>57</v>
      </c>
      <c r="K356" t="s">
        <v>58</v>
      </c>
      <c r="L356">
        <v>5</v>
      </c>
      <c r="M356">
        <v>90</v>
      </c>
      <c r="N356" t="s">
        <v>93</v>
      </c>
      <c r="O356">
        <v>4</v>
      </c>
    </row>
    <row r="357" spans="1:15">
      <c r="A357" s="4">
        <v>45969</v>
      </c>
      <c r="B357" t="s">
        <v>60</v>
      </c>
      <c r="C357" t="s">
        <v>68</v>
      </c>
      <c r="D357">
        <v>3490</v>
      </c>
      <c r="E357" t="s">
        <v>62</v>
      </c>
      <c r="F357" t="s">
        <v>447</v>
      </c>
      <c r="G357" t="s">
        <v>46</v>
      </c>
      <c r="H357" t="s">
        <v>70</v>
      </c>
      <c r="I357" t="s">
        <v>92</v>
      </c>
      <c r="J357" t="s">
        <v>65</v>
      </c>
      <c r="K357" t="s">
        <v>76</v>
      </c>
      <c r="L357">
        <v>3</v>
      </c>
      <c r="M357">
        <v>45</v>
      </c>
      <c r="N357" t="s">
        <v>59</v>
      </c>
      <c r="O357">
        <v>16</v>
      </c>
    </row>
    <row r="358" spans="1:15">
      <c r="A358" s="4">
        <v>45758</v>
      </c>
      <c r="B358" t="s">
        <v>51</v>
      </c>
      <c r="C358" t="s">
        <v>81</v>
      </c>
      <c r="D358">
        <v>3900</v>
      </c>
      <c r="E358" t="s">
        <v>53</v>
      </c>
      <c r="F358" t="s">
        <v>448</v>
      </c>
      <c r="G358" t="s">
        <v>45</v>
      </c>
      <c r="H358" t="s">
        <v>70</v>
      </c>
      <c r="I358" t="s">
        <v>88</v>
      </c>
      <c r="J358" t="s">
        <v>65</v>
      </c>
      <c r="K358" t="s">
        <v>58</v>
      </c>
      <c r="L358">
        <v>1</v>
      </c>
      <c r="M358">
        <v>30</v>
      </c>
      <c r="N358" t="s">
        <v>71</v>
      </c>
      <c r="O358">
        <v>8</v>
      </c>
    </row>
    <row r="359" spans="1:15">
      <c r="A359" s="4">
        <v>45890</v>
      </c>
      <c r="B359" t="s">
        <v>90</v>
      </c>
      <c r="C359" t="s">
        <v>86</v>
      </c>
      <c r="D359">
        <v>2010</v>
      </c>
      <c r="E359" t="s">
        <v>62</v>
      </c>
      <c r="F359" t="s">
        <v>449</v>
      </c>
      <c r="G359" t="s">
        <v>45</v>
      </c>
      <c r="H359" t="s">
        <v>70</v>
      </c>
      <c r="I359" t="s">
        <v>88</v>
      </c>
      <c r="J359" t="s">
        <v>65</v>
      </c>
      <c r="K359" t="s">
        <v>66</v>
      </c>
      <c r="L359">
        <v>4</v>
      </c>
      <c r="M359">
        <v>45</v>
      </c>
      <c r="N359" t="s">
        <v>59</v>
      </c>
      <c r="O359">
        <v>15</v>
      </c>
    </row>
    <row r="360" spans="1:15">
      <c r="A360" s="4">
        <v>46021</v>
      </c>
      <c r="B360" t="s">
        <v>97</v>
      </c>
      <c r="C360" t="s">
        <v>52</v>
      </c>
      <c r="D360">
        <v>2310</v>
      </c>
      <c r="E360" t="s">
        <v>53</v>
      </c>
      <c r="F360" t="s">
        <v>450</v>
      </c>
      <c r="G360" t="s">
        <v>46</v>
      </c>
      <c r="H360" t="s">
        <v>55</v>
      </c>
      <c r="I360" t="s">
        <v>79</v>
      </c>
      <c r="J360" t="s">
        <v>57</v>
      </c>
      <c r="K360" t="s">
        <v>76</v>
      </c>
      <c r="L360">
        <v>2</v>
      </c>
      <c r="M360">
        <v>60</v>
      </c>
      <c r="N360" t="s">
        <v>59</v>
      </c>
      <c r="O360">
        <v>18</v>
      </c>
    </row>
    <row r="361" spans="1:15">
      <c r="A361" s="4">
        <v>45935</v>
      </c>
      <c r="B361" t="s">
        <v>109</v>
      </c>
      <c r="C361" t="s">
        <v>86</v>
      </c>
      <c r="D361">
        <v>4770</v>
      </c>
      <c r="E361" t="s">
        <v>74</v>
      </c>
      <c r="F361" t="s">
        <v>451</v>
      </c>
      <c r="G361" t="s">
        <v>46</v>
      </c>
      <c r="H361" t="s">
        <v>70</v>
      </c>
      <c r="I361" t="s">
        <v>92</v>
      </c>
      <c r="J361" t="s">
        <v>57</v>
      </c>
      <c r="K361" t="s">
        <v>58</v>
      </c>
      <c r="L361">
        <v>1</v>
      </c>
      <c r="M361">
        <v>90</v>
      </c>
      <c r="N361" t="s">
        <v>93</v>
      </c>
      <c r="O361">
        <v>20</v>
      </c>
    </row>
    <row r="362" spans="1:15">
      <c r="A362" s="4">
        <v>45790</v>
      </c>
      <c r="B362" t="s">
        <v>97</v>
      </c>
      <c r="C362" t="s">
        <v>73</v>
      </c>
      <c r="D362">
        <v>3530</v>
      </c>
      <c r="E362" t="s">
        <v>62</v>
      </c>
      <c r="F362" t="s">
        <v>452</v>
      </c>
      <c r="G362" t="s">
        <v>45</v>
      </c>
      <c r="H362" t="s">
        <v>55</v>
      </c>
      <c r="I362" t="s">
        <v>79</v>
      </c>
      <c r="J362" t="s">
        <v>65</v>
      </c>
      <c r="K362" t="s">
        <v>76</v>
      </c>
      <c r="L362">
        <v>1</v>
      </c>
      <c r="M362">
        <v>30</v>
      </c>
      <c r="N362" t="s">
        <v>93</v>
      </c>
      <c r="O362">
        <v>20</v>
      </c>
    </row>
    <row r="363" spans="1:15">
      <c r="A363" s="4">
        <v>45678</v>
      </c>
      <c r="B363" t="s">
        <v>51</v>
      </c>
      <c r="C363" t="s">
        <v>114</v>
      </c>
      <c r="D363">
        <v>1120</v>
      </c>
      <c r="E363" t="s">
        <v>74</v>
      </c>
      <c r="F363" t="s">
        <v>453</v>
      </c>
      <c r="G363" t="s">
        <v>45</v>
      </c>
      <c r="H363" t="s">
        <v>70</v>
      </c>
      <c r="I363" t="s">
        <v>88</v>
      </c>
      <c r="J363" t="s">
        <v>57</v>
      </c>
      <c r="K363" t="s">
        <v>76</v>
      </c>
      <c r="L363">
        <v>2</v>
      </c>
      <c r="M363">
        <v>30</v>
      </c>
      <c r="N363" t="s">
        <v>93</v>
      </c>
      <c r="O363">
        <v>20</v>
      </c>
    </row>
    <row r="364" spans="1:15">
      <c r="A364" s="4">
        <v>45944</v>
      </c>
      <c r="B364" t="s">
        <v>90</v>
      </c>
      <c r="C364" t="s">
        <v>95</v>
      </c>
      <c r="D364">
        <v>1600</v>
      </c>
      <c r="E364" t="s">
        <v>62</v>
      </c>
      <c r="F364" t="s">
        <v>454</v>
      </c>
      <c r="G364" t="s">
        <v>45</v>
      </c>
      <c r="H364" t="s">
        <v>70</v>
      </c>
      <c r="I364" t="s">
        <v>64</v>
      </c>
      <c r="J364" t="s">
        <v>65</v>
      </c>
      <c r="K364" t="s">
        <v>76</v>
      </c>
      <c r="L364">
        <v>1</v>
      </c>
      <c r="M364">
        <v>60</v>
      </c>
      <c r="N364" t="s">
        <v>93</v>
      </c>
      <c r="O364">
        <v>19</v>
      </c>
    </row>
    <row r="365" spans="1:15">
      <c r="A365" s="4">
        <v>45987</v>
      </c>
      <c r="B365" t="s">
        <v>101</v>
      </c>
      <c r="C365" t="s">
        <v>77</v>
      </c>
      <c r="D365">
        <v>380</v>
      </c>
      <c r="E365" t="s">
        <v>74</v>
      </c>
      <c r="F365" t="s">
        <v>455</v>
      </c>
      <c r="G365" t="s">
        <v>46</v>
      </c>
      <c r="H365" t="s">
        <v>55</v>
      </c>
      <c r="I365" t="s">
        <v>88</v>
      </c>
      <c r="J365" t="s">
        <v>65</v>
      </c>
      <c r="K365" t="s">
        <v>76</v>
      </c>
      <c r="L365">
        <v>3</v>
      </c>
      <c r="M365">
        <v>90</v>
      </c>
      <c r="N365" t="s">
        <v>59</v>
      </c>
      <c r="O365">
        <v>5</v>
      </c>
    </row>
    <row r="366" spans="1:15">
      <c r="A366" s="4">
        <v>45783</v>
      </c>
      <c r="B366" t="s">
        <v>97</v>
      </c>
      <c r="C366" t="s">
        <v>77</v>
      </c>
      <c r="D366">
        <v>970</v>
      </c>
      <c r="E366" t="s">
        <v>62</v>
      </c>
      <c r="F366" t="s">
        <v>456</v>
      </c>
      <c r="G366" t="s">
        <v>46</v>
      </c>
      <c r="H366" t="s">
        <v>55</v>
      </c>
      <c r="I366" t="s">
        <v>56</v>
      </c>
      <c r="J366" t="s">
        <v>57</v>
      </c>
      <c r="K366" t="s">
        <v>58</v>
      </c>
      <c r="L366">
        <v>1</v>
      </c>
      <c r="M366">
        <v>90</v>
      </c>
      <c r="N366" t="s">
        <v>59</v>
      </c>
      <c r="O366">
        <v>9</v>
      </c>
    </row>
    <row r="367" spans="1:15">
      <c r="A367" s="4">
        <v>45951</v>
      </c>
      <c r="B367" t="s">
        <v>80</v>
      </c>
      <c r="C367" t="s">
        <v>86</v>
      </c>
      <c r="D367">
        <v>1100</v>
      </c>
      <c r="E367" t="s">
        <v>53</v>
      </c>
      <c r="F367" t="s">
        <v>457</v>
      </c>
      <c r="G367" t="s">
        <v>45</v>
      </c>
      <c r="H367" t="s">
        <v>70</v>
      </c>
      <c r="I367" t="s">
        <v>88</v>
      </c>
      <c r="J367" t="s">
        <v>57</v>
      </c>
      <c r="K367" t="s">
        <v>76</v>
      </c>
      <c r="L367">
        <v>3</v>
      </c>
      <c r="M367">
        <v>45</v>
      </c>
      <c r="N367" t="s">
        <v>59</v>
      </c>
      <c r="O367">
        <v>9</v>
      </c>
    </row>
    <row r="368" spans="1:15">
      <c r="A368" s="4">
        <v>45771</v>
      </c>
      <c r="B368" t="s">
        <v>97</v>
      </c>
      <c r="C368" t="s">
        <v>98</v>
      </c>
      <c r="D368">
        <v>2190</v>
      </c>
      <c r="E368" t="s">
        <v>53</v>
      </c>
      <c r="F368" t="s">
        <v>458</v>
      </c>
      <c r="G368" t="s">
        <v>46</v>
      </c>
      <c r="H368" t="s">
        <v>55</v>
      </c>
      <c r="I368" t="s">
        <v>84</v>
      </c>
      <c r="J368" t="s">
        <v>57</v>
      </c>
      <c r="K368" t="s">
        <v>66</v>
      </c>
      <c r="L368">
        <v>3</v>
      </c>
      <c r="M368">
        <v>60</v>
      </c>
      <c r="N368" t="s">
        <v>71</v>
      </c>
      <c r="O368">
        <v>4</v>
      </c>
    </row>
    <row r="369" spans="1:15">
      <c r="A369" s="4">
        <v>45887</v>
      </c>
      <c r="B369" t="s">
        <v>90</v>
      </c>
      <c r="C369" t="s">
        <v>52</v>
      </c>
      <c r="D369">
        <v>1970</v>
      </c>
      <c r="E369" t="s">
        <v>53</v>
      </c>
      <c r="F369" t="s">
        <v>459</v>
      </c>
      <c r="G369" t="s">
        <v>46</v>
      </c>
      <c r="H369" t="s">
        <v>55</v>
      </c>
      <c r="I369" t="s">
        <v>84</v>
      </c>
      <c r="J369" t="s">
        <v>65</v>
      </c>
      <c r="K369" t="s">
        <v>58</v>
      </c>
      <c r="L369">
        <v>5</v>
      </c>
      <c r="M369">
        <v>90</v>
      </c>
      <c r="N369" t="s">
        <v>71</v>
      </c>
      <c r="O369">
        <v>19</v>
      </c>
    </row>
    <row r="370" spans="1:15">
      <c r="A370" s="4">
        <v>46019</v>
      </c>
      <c r="B370" t="s">
        <v>80</v>
      </c>
      <c r="C370" t="s">
        <v>114</v>
      </c>
      <c r="D370">
        <v>3550</v>
      </c>
      <c r="E370" t="s">
        <v>74</v>
      </c>
      <c r="F370" t="s">
        <v>460</v>
      </c>
      <c r="G370" t="s">
        <v>45</v>
      </c>
      <c r="H370" t="s">
        <v>70</v>
      </c>
      <c r="I370" t="s">
        <v>84</v>
      </c>
      <c r="J370" t="s">
        <v>57</v>
      </c>
      <c r="K370" t="s">
        <v>66</v>
      </c>
      <c r="L370">
        <v>2</v>
      </c>
      <c r="M370">
        <v>90</v>
      </c>
      <c r="N370" t="s">
        <v>71</v>
      </c>
      <c r="O370">
        <v>15</v>
      </c>
    </row>
    <row r="371" spans="1:15">
      <c r="A371" s="4">
        <v>45845</v>
      </c>
      <c r="B371" t="s">
        <v>67</v>
      </c>
      <c r="C371" t="s">
        <v>86</v>
      </c>
      <c r="D371">
        <v>3390</v>
      </c>
      <c r="E371" t="s">
        <v>53</v>
      </c>
      <c r="F371" t="s">
        <v>461</v>
      </c>
      <c r="G371" t="s">
        <v>46</v>
      </c>
      <c r="H371" t="s">
        <v>55</v>
      </c>
      <c r="I371" t="s">
        <v>56</v>
      </c>
      <c r="J371" t="s">
        <v>57</v>
      </c>
      <c r="K371" t="s">
        <v>66</v>
      </c>
      <c r="L371">
        <v>3</v>
      </c>
      <c r="M371">
        <v>30</v>
      </c>
      <c r="N371" t="s">
        <v>93</v>
      </c>
      <c r="O371">
        <v>3</v>
      </c>
    </row>
    <row r="372" spans="1:15">
      <c r="A372" s="4">
        <v>45700</v>
      </c>
      <c r="B372" t="s">
        <v>85</v>
      </c>
      <c r="C372" t="s">
        <v>81</v>
      </c>
      <c r="D372">
        <v>4060</v>
      </c>
      <c r="E372" t="s">
        <v>62</v>
      </c>
      <c r="F372" t="s">
        <v>462</v>
      </c>
      <c r="G372" t="s">
        <v>45</v>
      </c>
      <c r="H372" t="s">
        <v>70</v>
      </c>
      <c r="I372" t="s">
        <v>79</v>
      </c>
      <c r="J372" t="s">
        <v>65</v>
      </c>
      <c r="K372" t="s">
        <v>66</v>
      </c>
      <c r="L372">
        <v>3</v>
      </c>
      <c r="M372">
        <v>45</v>
      </c>
      <c r="N372" t="s">
        <v>71</v>
      </c>
      <c r="O372">
        <v>6</v>
      </c>
    </row>
    <row r="373" spans="1:15">
      <c r="A373" s="4">
        <v>45818</v>
      </c>
      <c r="B373" t="s">
        <v>60</v>
      </c>
      <c r="C373" t="s">
        <v>61</v>
      </c>
      <c r="D373">
        <v>2680</v>
      </c>
      <c r="E373" t="s">
        <v>53</v>
      </c>
      <c r="F373" t="s">
        <v>463</v>
      </c>
      <c r="G373" t="s">
        <v>46</v>
      </c>
      <c r="H373" t="s">
        <v>70</v>
      </c>
      <c r="I373" t="s">
        <v>56</v>
      </c>
      <c r="J373" t="s">
        <v>65</v>
      </c>
      <c r="K373" t="s">
        <v>58</v>
      </c>
      <c r="L373">
        <v>3</v>
      </c>
      <c r="M373">
        <v>60</v>
      </c>
      <c r="N373" t="s">
        <v>71</v>
      </c>
      <c r="O373">
        <v>18</v>
      </c>
    </row>
    <row r="374" spans="1:15">
      <c r="A374" s="4">
        <v>45976</v>
      </c>
      <c r="B374" t="s">
        <v>85</v>
      </c>
      <c r="C374" t="s">
        <v>114</v>
      </c>
      <c r="D374">
        <v>2270</v>
      </c>
      <c r="E374" t="s">
        <v>74</v>
      </c>
      <c r="F374" t="s">
        <v>464</v>
      </c>
      <c r="G374" t="s">
        <v>46</v>
      </c>
      <c r="H374" t="s">
        <v>55</v>
      </c>
      <c r="I374" t="s">
        <v>84</v>
      </c>
      <c r="J374" t="s">
        <v>57</v>
      </c>
      <c r="K374" t="s">
        <v>66</v>
      </c>
      <c r="L374">
        <v>4</v>
      </c>
      <c r="M374">
        <v>30</v>
      </c>
      <c r="N374" t="s">
        <v>71</v>
      </c>
      <c r="O374">
        <v>3</v>
      </c>
    </row>
    <row r="375" spans="1:15">
      <c r="A375" s="4">
        <v>45981</v>
      </c>
      <c r="B375" t="s">
        <v>67</v>
      </c>
      <c r="C375" t="s">
        <v>114</v>
      </c>
      <c r="D375">
        <v>2220</v>
      </c>
      <c r="E375" t="s">
        <v>74</v>
      </c>
      <c r="F375" t="s">
        <v>465</v>
      </c>
      <c r="G375" t="s">
        <v>45</v>
      </c>
      <c r="H375" t="s">
        <v>55</v>
      </c>
      <c r="I375" t="s">
        <v>56</v>
      </c>
      <c r="J375" t="s">
        <v>57</v>
      </c>
      <c r="K375" t="s">
        <v>58</v>
      </c>
      <c r="L375">
        <v>4</v>
      </c>
      <c r="M375">
        <v>90</v>
      </c>
      <c r="N375" t="s">
        <v>59</v>
      </c>
      <c r="O375">
        <v>12</v>
      </c>
    </row>
    <row r="376" spans="1:15">
      <c r="A376" s="4">
        <v>45796</v>
      </c>
      <c r="B376" t="s">
        <v>109</v>
      </c>
      <c r="C376" t="s">
        <v>61</v>
      </c>
      <c r="D376">
        <v>4350</v>
      </c>
      <c r="E376" t="s">
        <v>74</v>
      </c>
      <c r="F376" t="s">
        <v>466</v>
      </c>
      <c r="G376" t="s">
        <v>45</v>
      </c>
      <c r="H376" t="s">
        <v>55</v>
      </c>
      <c r="I376" t="s">
        <v>79</v>
      </c>
      <c r="J376" t="s">
        <v>65</v>
      </c>
      <c r="K376" t="s">
        <v>76</v>
      </c>
      <c r="L376">
        <v>1</v>
      </c>
      <c r="M376">
        <v>60</v>
      </c>
      <c r="N376" t="s">
        <v>59</v>
      </c>
      <c r="O376">
        <v>14</v>
      </c>
    </row>
    <row r="377" spans="1:15">
      <c r="A377" s="4">
        <v>45735</v>
      </c>
      <c r="B377" t="s">
        <v>116</v>
      </c>
      <c r="C377" t="s">
        <v>81</v>
      </c>
      <c r="D377">
        <v>2610</v>
      </c>
      <c r="E377" t="s">
        <v>74</v>
      </c>
      <c r="F377" t="s">
        <v>467</v>
      </c>
      <c r="G377" t="s">
        <v>45</v>
      </c>
      <c r="H377" t="s">
        <v>70</v>
      </c>
      <c r="I377" t="s">
        <v>64</v>
      </c>
      <c r="J377" t="s">
        <v>65</v>
      </c>
      <c r="K377" t="s">
        <v>76</v>
      </c>
      <c r="L377">
        <v>3</v>
      </c>
      <c r="M377">
        <v>90</v>
      </c>
      <c r="N377" t="s">
        <v>93</v>
      </c>
      <c r="O377">
        <v>5</v>
      </c>
    </row>
    <row r="378" spans="1:15">
      <c r="A378" s="4">
        <v>45872</v>
      </c>
      <c r="B378" t="s">
        <v>85</v>
      </c>
      <c r="C378" t="s">
        <v>95</v>
      </c>
      <c r="D378">
        <v>3970</v>
      </c>
      <c r="E378" t="s">
        <v>74</v>
      </c>
      <c r="F378" t="s">
        <v>468</v>
      </c>
      <c r="G378" t="s">
        <v>45</v>
      </c>
      <c r="H378" t="s">
        <v>70</v>
      </c>
      <c r="I378" t="s">
        <v>88</v>
      </c>
      <c r="J378" t="s">
        <v>57</v>
      </c>
      <c r="K378" t="s">
        <v>76</v>
      </c>
      <c r="L378">
        <v>3</v>
      </c>
      <c r="M378">
        <v>45</v>
      </c>
      <c r="N378" t="s">
        <v>71</v>
      </c>
      <c r="O378">
        <v>3</v>
      </c>
    </row>
    <row r="379" spans="1:15">
      <c r="A379" s="4">
        <v>45825</v>
      </c>
      <c r="B379" t="s">
        <v>97</v>
      </c>
      <c r="C379" t="s">
        <v>73</v>
      </c>
      <c r="D379">
        <v>2790</v>
      </c>
      <c r="E379" t="s">
        <v>53</v>
      </c>
      <c r="F379" t="s">
        <v>469</v>
      </c>
      <c r="G379" t="s">
        <v>45</v>
      </c>
      <c r="H379" t="s">
        <v>55</v>
      </c>
      <c r="I379" t="s">
        <v>88</v>
      </c>
      <c r="J379" t="s">
        <v>65</v>
      </c>
      <c r="K379" t="s">
        <v>76</v>
      </c>
      <c r="L379">
        <v>2</v>
      </c>
      <c r="M379">
        <v>60</v>
      </c>
      <c r="N379" t="s">
        <v>59</v>
      </c>
      <c r="O379">
        <v>13</v>
      </c>
    </row>
    <row r="380" spans="1:15">
      <c r="A380" s="4">
        <v>45696</v>
      </c>
      <c r="B380" t="s">
        <v>94</v>
      </c>
      <c r="C380" t="s">
        <v>114</v>
      </c>
      <c r="D380">
        <v>4330</v>
      </c>
      <c r="E380" t="s">
        <v>53</v>
      </c>
      <c r="F380" t="s">
        <v>470</v>
      </c>
      <c r="G380" t="s">
        <v>46</v>
      </c>
      <c r="H380" t="s">
        <v>70</v>
      </c>
      <c r="I380" t="s">
        <v>64</v>
      </c>
      <c r="J380" t="s">
        <v>65</v>
      </c>
      <c r="K380" t="s">
        <v>76</v>
      </c>
      <c r="L380">
        <v>3</v>
      </c>
      <c r="M380">
        <v>45</v>
      </c>
      <c r="N380" t="s">
        <v>71</v>
      </c>
      <c r="O380">
        <v>14</v>
      </c>
    </row>
    <row r="381" spans="1:15">
      <c r="A381" s="4">
        <v>45684</v>
      </c>
      <c r="B381" t="s">
        <v>116</v>
      </c>
      <c r="C381" t="s">
        <v>68</v>
      </c>
      <c r="D381">
        <v>4310</v>
      </c>
      <c r="E381" t="s">
        <v>74</v>
      </c>
      <c r="F381" t="s">
        <v>471</v>
      </c>
      <c r="G381" t="s">
        <v>45</v>
      </c>
      <c r="H381" t="s">
        <v>55</v>
      </c>
      <c r="I381" t="s">
        <v>84</v>
      </c>
      <c r="J381" t="s">
        <v>65</v>
      </c>
      <c r="K381" t="s">
        <v>66</v>
      </c>
      <c r="L381">
        <v>1</v>
      </c>
      <c r="M381">
        <v>30</v>
      </c>
      <c r="N381" t="s">
        <v>71</v>
      </c>
      <c r="O381">
        <v>18</v>
      </c>
    </row>
    <row r="382" spans="1:15">
      <c r="A382" s="4">
        <v>45766</v>
      </c>
      <c r="B382" t="s">
        <v>101</v>
      </c>
      <c r="C382" t="s">
        <v>61</v>
      </c>
      <c r="D382">
        <v>3310</v>
      </c>
      <c r="E382" t="s">
        <v>53</v>
      </c>
      <c r="F382" t="s">
        <v>472</v>
      </c>
      <c r="G382" t="s">
        <v>46</v>
      </c>
      <c r="H382" t="s">
        <v>55</v>
      </c>
      <c r="I382" t="s">
        <v>84</v>
      </c>
      <c r="J382" t="s">
        <v>57</v>
      </c>
      <c r="K382" t="s">
        <v>66</v>
      </c>
      <c r="L382">
        <v>3</v>
      </c>
      <c r="M382">
        <v>90</v>
      </c>
      <c r="N382" t="s">
        <v>59</v>
      </c>
      <c r="O382">
        <v>20</v>
      </c>
    </row>
    <row r="383" spans="1:15">
      <c r="A383" s="4">
        <v>45961</v>
      </c>
      <c r="B383" t="s">
        <v>72</v>
      </c>
      <c r="C383" t="s">
        <v>61</v>
      </c>
      <c r="D383">
        <v>1360</v>
      </c>
      <c r="E383" t="s">
        <v>53</v>
      </c>
      <c r="F383" t="s">
        <v>473</v>
      </c>
      <c r="G383" t="s">
        <v>46</v>
      </c>
      <c r="H383" t="s">
        <v>70</v>
      </c>
      <c r="I383" t="s">
        <v>92</v>
      </c>
      <c r="J383" t="s">
        <v>65</v>
      </c>
      <c r="K383" t="s">
        <v>66</v>
      </c>
      <c r="L383">
        <v>3</v>
      </c>
      <c r="M383">
        <v>30</v>
      </c>
      <c r="N383" t="s">
        <v>93</v>
      </c>
      <c r="O383">
        <v>8</v>
      </c>
    </row>
    <row r="384" spans="1:15">
      <c r="A384" s="4">
        <v>45955</v>
      </c>
      <c r="B384" t="s">
        <v>60</v>
      </c>
      <c r="C384" t="s">
        <v>81</v>
      </c>
      <c r="D384">
        <v>3270</v>
      </c>
      <c r="E384" t="s">
        <v>62</v>
      </c>
      <c r="F384" t="s">
        <v>474</v>
      </c>
      <c r="G384" t="s">
        <v>45</v>
      </c>
      <c r="H384" t="s">
        <v>70</v>
      </c>
      <c r="I384" t="s">
        <v>88</v>
      </c>
      <c r="J384" t="s">
        <v>57</v>
      </c>
      <c r="K384" t="s">
        <v>66</v>
      </c>
      <c r="L384">
        <v>1</v>
      </c>
      <c r="M384">
        <v>90</v>
      </c>
      <c r="N384" t="s">
        <v>71</v>
      </c>
      <c r="O384">
        <v>14</v>
      </c>
    </row>
    <row r="385" spans="1:15">
      <c r="A385" s="4">
        <v>46003</v>
      </c>
      <c r="B385" t="s">
        <v>85</v>
      </c>
      <c r="C385" t="s">
        <v>95</v>
      </c>
      <c r="D385">
        <v>810</v>
      </c>
      <c r="E385" t="s">
        <v>62</v>
      </c>
      <c r="F385" t="s">
        <v>475</v>
      </c>
      <c r="G385" t="s">
        <v>46</v>
      </c>
      <c r="H385" t="s">
        <v>70</v>
      </c>
      <c r="I385" t="s">
        <v>64</v>
      </c>
      <c r="J385" t="s">
        <v>57</v>
      </c>
      <c r="K385" t="s">
        <v>58</v>
      </c>
      <c r="L385">
        <v>5</v>
      </c>
      <c r="M385">
        <v>30</v>
      </c>
      <c r="N385" t="s">
        <v>59</v>
      </c>
      <c r="O385">
        <v>17</v>
      </c>
    </row>
    <row r="386" spans="1:15">
      <c r="A386" s="4">
        <v>45817</v>
      </c>
      <c r="B386" t="s">
        <v>101</v>
      </c>
      <c r="C386" t="s">
        <v>95</v>
      </c>
      <c r="D386">
        <v>1750</v>
      </c>
      <c r="E386" t="s">
        <v>62</v>
      </c>
      <c r="F386" t="s">
        <v>476</v>
      </c>
      <c r="G386" t="s">
        <v>46</v>
      </c>
      <c r="H386" t="s">
        <v>55</v>
      </c>
      <c r="I386" t="s">
        <v>92</v>
      </c>
      <c r="J386" t="s">
        <v>57</v>
      </c>
      <c r="K386" t="s">
        <v>76</v>
      </c>
      <c r="L386">
        <v>5</v>
      </c>
      <c r="M386">
        <v>45</v>
      </c>
      <c r="N386" t="s">
        <v>93</v>
      </c>
      <c r="O386">
        <v>9</v>
      </c>
    </row>
    <row r="387" spans="1:15">
      <c r="A387" s="4">
        <v>45672</v>
      </c>
      <c r="B387" t="s">
        <v>80</v>
      </c>
      <c r="C387" t="s">
        <v>98</v>
      </c>
      <c r="D387">
        <v>4880</v>
      </c>
      <c r="E387" t="s">
        <v>53</v>
      </c>
      <c r="F387" t="s">
        <v>477</v>
      </c>
      <c r="G387" t="s">
        <v>45</v>
      </c>
      <c r="H387" t="s">
        <v>55</v>
      </c>
      <c r="I387" t="s">
        <v>56</v>
      </c>
      <c r="J387" t="s">
        <v>57</v>
      </c>
      <c r="K387" t="s">
        <v>58</v>
      </c>
      <c r="L387">
        <v>5</v>
      </c>
      <c r="M387">
        <v>90</v>
      </c>
      <c r="N387" t="s">
        <v>93</v>
      </c>
      <c r="O387">
        <v>10</v>
      </c>
    </row>
    <row r="388" spans="1:15">
      <c r="A388" s="4">
        <v>46014</v>
      </c>
      <c r="B388" t="s">
        <v>101</v>
      </c>
      <c r="C388" t="s">
        <v>81</v>
      </c>
      <c r="D388">
        <v>2910</v>
      </c>
      <c r="E388" t="s">
        <v>53</v>
      </c>
      <c r="F388" t="s">
        <v>478</v>
      </c>
      <c r="G388" t="s">
        <v>45</v>
      </c>
      <c r="H388" t="s">
        <v>70</v>
      </c>
      <c r="I388" t="s">
        <v>79</v>
      </c>
      <c r="J388" t="s">
        <v>65</v>
      </c>
      <c r="K388" t="s">
        <v>66</v>
      </c>
      <c r="L388">
        <v>4</v>
      </c>
      <c r="M388">
        <v>90</v>
      </c>
      <c r="N388" t="s">
        <v>71</v>
      </c>
      <c r="O388">
        <v>17</v>
      </c>
    </row>
    <row r="389" spans="1:15">
      <c r="A389" s="4">
        <v>45726</v>
      </c>
      <c r="B389" t="s">
        <v>80</v>
      </c>
      <c r="C389" t="s">
        <v>98</v>
      </c>
      <c r="D389">
        <v>2830</v>
      </c>
      <c r="E389" t="s">
        <v>74</v>
      </c>
      <c r="F389" t="s">
        <v>479</v>
      </c>
      <c r="G389" t="s">
        <v>45</v>
      </c>
      <c r="H389" t="s">
        <v>70</v>
      </c>
      <c r="I389" t="s">
        <v>56</v>
      </c>
      <c r="J389" t="s">
        <v>65</v>
      </c>
      <c r="K389" t="s">
        <v>58</v>
      </c>
      <c r="L389">
        <v>2</v>
      </c>
      <c r="M389">
        <v>30</v>
      </c>
      <c r="N389" t="s">
        <v>93</v>
      </c>
      <c r="O389">
        <v>18</v>
      </c>
    </row>
    <row r="390" spans="1:15">
      <c r="A390" s="4">
        <v>45802</v>
      </c>
      <c r="B390" t="s">
        <v>94</v>
      </c>
      <c r="C390" t="s">
        <v>95</v>
      </c>
      <c r="D390">
        <v>790</v>
      </c>
      <c r="E390" t="s">
        <v>62</v>
      </c>
      <c r="F390" t="s">
        <v>480</v>
      </c>
      <c r="G390" t="s">
        <v>45</v>
      </c>
      <c r="H390" t="s">
        <v>70</v>
      </c>
      <c r="I390" t="s">
        <v>84</v>
      </c>
      <c r="J390" t="s">
        <v>65</v>
      </c>
      <c r="K390" t="s">
        <v>76</v>
      </c>
      <c r="L390">
        <v>4</v>
      </c>
      <c r="M390">
        <v>90</v>
      </c>
      <c r="N390" t="s">
        <v>71</v>
      </c>
      <c r="O390">
        <v>16</v>
      </c>
    </row>
    <row r="391" spans="1:15">
      <c r="A391" s="4">
        <v>45859</v>
      </c>
      <c r="B391" t="s">
        <v>67</v>
      </c>
      <c r="C391" t="s">
        <v>86</v>
      </c>
      <c r="D391">
        <v>4790</v>
      </c>
      <c r="E391" t="s">
        <v>62</v>
      </c>
      <c r="F391" t="s">
        <v>481</v>
      </c>
      <c r="G391" t="s">
        <v>46</v>
      </c>
      <c r="H391" t="s">
        <v>55</v>
      </c>
      <c r="I391" t="s">
        <v>56</v>
      </c>
      <c r="J391" t="s">
        <v>65</v>
      </c>
      <c r="K391" t="s">
        <v>66</v>
      </c>
      <c r="L391">
        <v>5</v>
      </c>
      <c r="M391">
        <v>60</v>
      </c>
      <c r="N391" t="s">
        <v>93</v>
      </c>
      <c r="O391">
        <v>14</v>
      </c>
    </row>
    <row r="392" spans="1:15">
      <c r="A392" s="4">
        <v>46015</v>
      </c>
      <c r="B392" t="s">
        <v>72</v>
      </c>
      <c r="C392" t="s">
        <v>73</v>
      </c>
      <c r="D392">
        <v>860</v>
      </c>
      <c r="E392" t="s">
        <v>62</v>
      </c>
      <c r="F392" t="s">
        <v>482</v>
      </c>
      <c r="G392" t="s">
        <v>45</v>
      </c>
      <c r="H392" t="s">
        <v>70</v>
      </c>
      <c r="I392" t="s">
        <v>84</v>
      </c>
      <c r="J392" t="s">
        <v>57</v>
      </c>
      <c r="K392" t="s">
        <v>58</v>
      </c>
      <c r="L392">
        <v>4</v>
      </c>
      <c r="M392">
        <v>90</v>
      </c>
      <c r="N392" t="s">
        <v>71</v>
      </c>
      <c r="O392">
        <v>6</v>
      </c>
    </row>
    <row r="393" spans="1:15">
      <c r="A393" s="4">
        <v>45684</v>
      </c>
      <c r="B393" t="s">
        <v>116</v>
      </c>
      <c r="C393" t="s">
        <v>61</v>
      </c>
      <c r="D393">
        <v>1860</v>
      </c>
      <c r="E393" t="s">
        <v>74</v>
      </c>
      <c r="F393" t="s">
        <v>483</v>
      </c>
      <c r="G393" t="s">
        <v>45</v>
      </c>
      <c r="H393" t="s">
        <v>70</v>
      </c>
      <c r="I393" t="s">
        <v>56</v>
      </c>
      <c r="J393" t="s">
        <v>57</v>
      </c>
      <c r="K393" t="s">
        <v>66</v>
      </c>
      <c r="L393">
        <v>5</v>
      </c>
      <c r="M393">
        <v>60</v>
      </c>
      <c r="N393" t="s">
        <v>59</v>
      </c>
      <c r="O393">
        <v>15</v>
      </c>
    </row>
    <row r="394" spans="1:15">
      <c r="A394" s="4">
        <v>45754</v>
      </c>
      <c r="B394" t="s">
        <v>116</v>
      </c>
      <c r="C394" t="s">
        <v>81</v>
      </c>
      <c r="D394">
        <v>300</v>
      </c>
      <c r="E394" t="s">
        <v>74</v>
      </c>
      <c r="F394" t="s">
        <v>484</v>
      </c>
      <c r="G394" t="s">
        <v>45</v>
      </c>
      <c r="H394" t="s">
        <v>70</v>
      </c>
      <c r="I394" t="s">
        <v>56</v>
      </c>
      <c r="J394" t="s">
        <v>65</v>
      </c>
      <c r="K394" t="s">
        <v>76</v>
      </c>
      <c r="L394">
        <v>3</v>
      </c>
      <c r="M394">
        <v>30</v>
      </c>
      <c r="N394" t="s">
        <v>59</v>
      </c>
      <c r="O394">
        <v>12</v>
      </c>
    </row>
    <row r="395" spans="1:15">
      <c r="A395" s="4">
        <v>45847</v>
      </c>
      <c r="B395" t="s">
        <v>51</v>
      </c>
      <c r="C395" t="s">
        <v>95</v>
      </c>
      <c r="D395">
        <v>200</v>
      </c>
      <c r="E395" t="s">
        <v>62</v>
      </c>
      <c r="F395" t="s">
        <v>485</v>
      </c>
      <c r="G395" t="s">
        <v>45</v>
      </c>
      <c r="H395" t="s">
        <v>70</v>
      </c>
      <c r="I395" t="s">
        <v>92</v>
      </c>
      <c r="J395" t="s">
        <v>65</v>
      </c>
      <c r="K395" t="s">
        <v>66</v>
      </c>
      <c r="L395">
        <v>5</v>
      </c>
      <c r="M395">
        <v>90</v>
      </c>
      <c r="N395" t="s">
        <v>59</v>
      </c>
      <c r="O395">
        <v>5</v>
      </c>
    </row>
    <row r="396" spans="1:15">
      <c r="A396" s="4">
        <v>45980</v>
      </c>
      <c r="B396" t="s">
        <v>80</v>
      </c>
      <c r="C396" t="s">
        <v>68</v>
      </c>
      <c r="D396">
        <v>2810</v>
      </c>
      <c r="E396" t="s">
        <v>53</v>
      </c>
      <c r="F396" t="s">
        <v>486</v>
      </c>
      <c r="G396" t="s">
        <v>46</v>
      </c>
      <c r="H396" t="s">
        <v>55</v>
      </c>
      <c r="I396" t="s">
        <v>84</v>
      </c>
      <c r="J396" t="s">
        <v>57</v>
      </c>
      <c r="K396" t="s">
        <v>76</v>
      </c>
      <c r="L396">
        <v>3</v>
      </c>
      <c r="M396">
        <v>60</v>
      </c>
      <c r="N396" t="s">
        <v>71</v>
      </c>
      <c r="O396">
        <v>16</v>
      </c>
    </row>
    <row r="397" spans="1:15">
      <c r="A397" s="4">
        <v>45791</v>
      </c>
      <c r="B397" t="s">
        <v>97</v>
      </c>
      <c r="C397" t="s">
        <v>98</v>
      </c>
      <c r="D397">
        <v>3900</v>
      </c>
      <c r="E397" t="s">
        <v>62</v>
      </c>
      <c r="F397" t="s">
        <v>487</v>
      </c>
      <c r="G397" t="s">
        <v>46</v>
      </c>
      <c r="H397" t="s">
        <v>70</v>
      </c>
      <c r="I397" t="s">
        <v>84</v>
      </c>
      <c r="J397" t="s">
        <v>65</v>
      </c>
      <c r="K397" t="s">
        <v>58</v>
      </c>
      <c r="L397">
        <v>4</v>
      </c>
      <c r="M397">
        <v>60</v>
      </c>
      <c r="N397" t="s">
        <v>71</v>
      </c>
      <c r="O397">
        <v>13</v>
      </c>
    </row>
    <row r="398" spans="1:15">
      <c r="A398" s="4">
        <v>45913</v>
      </c>
      <c r="B398" t="s">
        <v>90</v>
      </c>
      <c r="C398" t="s">
        <v>81</v>
      </c>
      <c r="D398">
        <v>1920</v>
      </c>
      <c r="E398" t="s">
        <v>62</v>
      </c>
      <c r="F398" t="s">
        <v>488</v>
      </c>
      <c r="G398" t="s">
        <v>45</v>
      </c>
      <c r="H398" t="s">
        <v>70</v>
      </c>
      <c r="I398" t="s">
        <v>56</v>
      </c>
      <c r="J398" t="s">
        <v>65</v>
      </c>
      <c r="K398" t="s">
        <v>58</v>
      </c>
      <c r="L398">
        <v>4</v>
      </c>
      <c r="M398">
        <v>30</v>
      </c>
      <c r="N398" t="s">
        <v>71</v>
      </c>
      <c r="O398">
        <v>6</v>
      </c>
    </row>
    <row r="399" spans="1:15">
      <c r="A399" s="4">
        <v>45707</v>
      </c>
      <c r="B399" t="s">
        <v>60</v>
      </c>
      <c r="C399" t="s">
        <v>73</v>
      </c>
      <c r="D399">
        <v>4210</v>
      </c>
      <c r="E399" t="s">
        <v>74</v>
      </c>
      <c r="F399" t="s">
        <v>489</v>
      </c>
      <c r="G399" t="s">
        <v>45</v>
      </c>
      <c r="H399" t="s">
        <v>70</v>
      </c>
      <c r="I399" t="s">
        <v>88</v>
      </c>
      <c r="J399" t="s">
        <v>65</v>
      </c>
      <c r="K399" t="s">
        <v>58</v>
      </c>
      <c r="L399">
        <v>4</v>
      </c>
      <c r="M399">
        <v>30</v>
      </c>
      <c r="N399" t="s">
        <v>93</v>
      </c>
      <c r="O399">
        <v>13</v>
      </c>
    </row>
    <row r="400" spans="1:15">
      <c r="A400" s="4">
        <v>45773</v>
      </c>
      <c r="B400" t="s">
        <v>101</v>
      </c>
      <c r="C400" t="s">
        <v>68</v>
      </c>
      <c r="D400">
        <v>1990</v>
      </c>
      <c r="E400" t="s">
        <v>62</v>
      </c>
      <c r="F400" t="s">
        <v>490</v>
      </c>
      <c r="G400" t="s">
        <v>46</v>
      </c>
      <c r="H400" t="s">
        <v>70</v>
      </c>
      <c r="I400" t="s">
        <v>92</v>
      </c>
      <c r="J400" t="s">
        <v>57</v>
      </c>
      <c r="K400" t="s">
        <v>58</v>
      </c>
      <c r="L400">
        <v>4</v>
      </c>
      <c r="M400">
        <v>60</v>
      </c>
      <c r="N400" t="s">
        <v>71</v>
      </c>
      <c r="O400">
        <v>17</v>
      </c>
    </row>
    <row r="401" spans="1:15">
      <c r="A401" s="4">
        <v>45933</v>
      </c>
      <c r="B401" t="s">
        <v>109</v>
      </c>
      <c r="C401" t="s">
        <v>61</v>
      </c>
      <c r="D401">
        <v>960</v>
      </c>
      <c r="E401" t="s">
        <v>53</v>
      </c>
      <c r="F401" t="s">
        <v>491</v>
      </c>
      <c r="G401" t="s">
        <v>46</v>
      </c>
      <c r="H401" t="s">
        <v>55</v>
      </c>
      <c r="I401" t="s">
        <v>79</v>
      </c>
      <c r="J401" t="s">
        <v>57</v>
      </c>
      <c r="K401" t="s">
        <v>76</v>
      </c>
      <c r="L401">
        <v>1</v>
      </c>
      <c r="M401">
        <v>45</v>
      </c>
      <c r="N401" t="s">
        <v>59</v>
      </c>
      <c r="O401">
        <v>18</v>
      </c>
    </row>
    <row r="402" spans="1:15">
      <c r="A402" s="4">
        <v>45806</v>
      </c>
      <c r="B402" t="s">
        <v>94</v>
      </c>
      <c r="C402" t="s">
        <v>73</v>
      </c>
      <c r="D402">
        <v>3150</v>
      </c>
      <c r="E402" t="s">
        <v>74</v>
      </c>
      <c r="F402" t="s">
        <v>492</v>
      </c>
      <c r="G402" t="s">
        <v>46</v>
      </c>
      <c r="H402" t="s">
        <v>55</v>
      </c>
      <c r="I402" t="s">
        <v>84</v>
      </c>
      <c r="J402" t="s">
        <v>65</v>
      </c>
      <c r="K402" t="s">
        <v>58</v>
      </c>
      <c r="L402">
        <v>3</v>
      </c>
      <c r="M402">
        <v>30</v>
      </c>
      <c r="N402" t="s">
        <v>71</v>
      </c>
      <c r="O402">
        <v>10</v>
      </c>
    </row>
    <row r="403" spans="1:15">
      <c r="A403" s="4">
        <v>45790</v>
      </c>
      <c r="B403" t="s">
        <v>90</v>
      </c>
      <c r="C403" t="s">
        <v>86</v>
      </c>
      <c r="D403">
        <v>240</v>
      </c>
      <c r="E403" t="s">
        <v>74</v>
      </c>
      <c r="F403" t="s">
        <v>493</v>
      </c>
      <c r="G403" t="s">
        <v>45</v>
      </c>
      <c r="H403" t="s">
        <v>70</v>
      </c>
      <c r="I403" t="s">
        <v>84</v>
      </c>
      <c r="J403" t="s">
        <v>57</v>
      </c>
      <c r="K403" t="s">
        <v>58</v>
      </c>
      <c r="L403">
        <v>2</v>
      </c>
      <c r="M403">
        <v>30</v>
      </c>
      <c r="N403" t="s">
        <v>59</v>
      </c>
      <c r="O403">
        <v>20</v>
      </c>
    </row>
    <row r="404" spans="1:15">
      <c r="A404" s="4">
        <v>45977</v>
      </c>
      <c r="B404" t="s">
        <v>90</v>
      </c>
      <c r="C404" t="s">
        <v>114</v>
      </c>
      <c r="D404">
        <v>3930</v>
      </c>
      <c r="E404" t="s">
        <v>53</v>
      </c>
      <c r="F404" t="s">
        <v>494</v>
      </c>
      <c r="G404" t="s">
        <v>45</v>
      </c>
      <c r="H404" t="s">
        <v>70</v>
      </c>
      <c r="I404" t="s">
        <v>64</v>
      </c>
      <c r="J404" t="s">
        <v>57</v>
      </c>
      <c r="K404" t="s">
        <v>58</v>
      </c>
      <c r="L404">
        <v>3</v>
      </c>
      <c r="M404">
        <v>45</v>
      </c>
      <c r="N404" t="s">
        <v>93</v>
      </c>
      <c r="O404">
        <v>15</v>
      </c>
    </row>
    <row r="405" spans="1:15">
      <c r="A405" s="4">
        <v>45846</v>
      </c>
      <c r="B405" t="s">
        <v>94</v>
      </c>
      <c r="C405" t="s">
        <v>95</v>
      </c>
      <c r="D405">
        <v>220</v>
      </c>
      <c r="E405" t="s">
        <v>53</v>
      </c>
      <c r="F405" t="s">
        <v>495</v>
      </c>
      <c r="G405" t="s">
        <v>45</v>
      </c>
      <c r="H405" t="s">
        <v>70</v>
      </c>
      <c r="I405" t="s">
        <v>64</v>
      </c>
      <c r="J405" t="s">
        <v>65</v>
      </c>
      <c r="K405" t="s">
        <v>58</v>
      </c>
      <c r="L405">
        <v>1</v>
      </c>
      <c r="M405">
        <v>60</v>
      </c>
      <c r="N405" t="s">
        <v>93</v>
      </c>
      <c r="O405">
        <v>4</v>
      </c>
    </row>
    <row r="406" spans="1:15">
      <c r="A406" s="4">
        <v>45842</v>
      </c>
      <c r="B406" t="s">
        <v>67</v>
      </c>
      <c r="C406" t="s">
        <v>52</v>
      </c>
      <c r="D406">
        <v>2100</v>
      </c>
      <c r="E406" t="s">
        <v>53</v>
      </c>
      <c r="F406" t="s">
        <v>496</v>
      </c>
      <c r="G406" t="s">
        <v>46</v>
      </c>
      <c r="H406" t="s">
        <v>70</v>
      </c>
      <c r="I406" t="s">
        <v>56</v>
      </c>
      <c r="J406" t="s">
        <v>65</v>
      </c>
      <c r="K406" t="s">
        <v>76</v>
      </c>
      <c r="L406">
        <v>3</v>
      </c>
      <c r="M406">
        <v>60</v>
      </c>
      <c r="N406" t="s">
        <v>93</v>
      </c>
      <c r="O406">
        <v>20</v>
      </c>
    </row>
    <row r="407" spans="1:15">
      <c r="A407" s="4">
        <v>45969</v>
      </c>
      <c r="B407" t="s">
        <v>67</v>
      </c>
      <c r="C407" t="s">
        <v>77</v>
      </c>
      <c r="D407">
        <v>2620</v>
      </c>
      <c r="E407" t="s">
        <v>74</v>
      </c>
      <c r="F407" t="s">
        <v>497</v>
      </c>
      <c r="G407" t="s">
        <v>45</v>
      </c>
      <c r="H407" t="s">
        <v>55</v>
      </c>
      <c r="I407" t="s">
        <v>92</v>
      </c>
      <c r="J407" t="s">
        <v>57</v>
      </c>
      <c r="K407" t="s">
        <v>66</v>
      </c>
      <c r="L407">
        <v>4</v>
      </c>
      <c r="M407">
        <v>90</v>
      </c>
      <c r="N407" t="s">
        <v>59</v>
      </c>
      <c r="O407">
        <v>9</v>
      </c>
    </row>
    <row r="408" spans="1:15">
      <c r="A408" s="4">
        <v>45826</v>
      </c>
      <c r="B408" t="s">
        <v>94</v>
      </c>
      <c r="C408" t="s">
        <v>73</v>
      </c>
      <c r="D408">
        <v>2060</v>
      </c>
      <c r="E408" t="s">
        <v>74</v>
      </c>
      <c r="F408" t="s">
        <v>498</v>
      </c>
      <c r="G408" t="s">
        <v>45</v>
      </c>
      <c r="H408" t="s">
        <v>55</v>
      </c>
      <c r="I408" t="s">
        <v>88</v>
      </c>
      <c r="J408" t="s">
        <v>57</v>
      </c>
      <c r="K408" t="s">
        <v>76</v>
      </c>
      <c r="L408">
        <v>2</v>
      </c>
      <c r="M408">
        <v>90</v>
      </c>
      <c r="N408" t="s">
        <v>71</v>
      </c>
      <c r="O408">
        <v>9</v>
      </c>
    </row>
    <row r="409" spans="1:15">
      <c r="A409" s="4">
        <v>45965</v>
      </c>
      <c r="B409" t="s">
        <v>101</v>
      </c>
      <c r="C409" t="s">
        <v>81</v>
      </c>
      <c r="D409">
        <v>3760</v>
      </c>
      <c r="E409" t="s">
        <v>53</v>
      </c>
      <c r="F409" t="s">
        <v>499</v>
      </c>
      <c r="G409" t="s">
        <v>45</v>
      </c>
      <c r="H409" t="s">
        <v>55</v>
      </c>
      <c r="I409" t="s">
        <v>84</v>
      </c>
      <c r="J409" t="s">
        <v>65</v>
      </c>
      <c r="K409" t="s">
        <v>76</v>
      </c>
      <c r="L409">
        <v>3</v>
      </c>
      <c r="M409">
        <v>45</v>
      </c>
      <c r="N409" t="s">
        <v>71</v>
      </c>
      <c r="O409">
        <v>4</v>
      </c>
    </row>
    <row r="410" spans="1:15">
      <c r="A410" s="4">
        <v>45793</v>
      </c>
      <c r="B410" t="s">
        <v>101</v>
      </c>
      <c r="C410" t="s">
        <v>68</v>
      </c>
      <c r="D410">
        <v>2210</v>
      </c>
      <c r="E410" t="s">
        <v>74</v>
      </c>
      <c r="F410" t="s">
        <v>500</v>
      </c>
      <c r="G410" t="s">
        <v>45</v>
      </c>
      <c r="H410" t="s">
        <v>55</v>
      </c>
      <c r="I410" t="s">
        <v>79</v>
      </c>
      <c r="J410" t="s">
        <v>65</v>
      </c>
      <c r="K410" t="s">
        <v>58</v>
      </c>
      <c r="L410">
        <v>2</v>
      </c>
      <c r="M410">
        <v>30</v>
      </c>
      <c r="N410" t="s">
        <v>59</v>
      </c>
      <c r="O410">
        <v>5</v>
      </c>
    </row>
    <row r="411" spans="1:15">
      <c r="A411" s="4">
        <v>45729</v>
      </c>
      <c r="B411" t="s">
        <v>101</v>
      </c>
      <c r="C411" t="s">
        <v>86</v>
      </c>
      <c r="D411">
        <v>3740</v>
      </c>
      <c r="E411" t="s">
        <v>62</v>
      </c>
      <c r="F411" t="s">
        <v>501</v>
      </c>
      <c r="G411" t="s">
        <v>45</v>
      </c>
      <c r="H411" t="s">
        <v>55</v>
      </c>
      <c r="I411" t="s">
        <v>79</v>
      </c>
      <c r="J411" t="s">
        <v>65</v>
      </c>
      <c r="K411" t="s">
        <v>58</v>
      </c>
      <c r="L411">
        <v>5</v>
      </c>
      <c r="M411">
        <v>90</v>
      </c>
      <c r="N411" t="s">
        <v>93</v>
      </c>
      <c r="O411">
        <v>9</v>
      </c>
    </row>
    <row r="412" spans="1:15">
      <c r="A412" s="4">
        <v>45947</v>
      </c>
      <c r="B412" t="s">
        <v>60</v>
      </c>
      <c r="C412" t="s">
        <v>81</v>
      </c>
      <c r="D412">
        <v>560</v>
      </c>
      <c r="E412" t="s">
        <v>53</v>
      </c>
      <c r="F412" t="s">
        <v>502</v>
      </c>
      <c r="G412" t="s">
        <v>46</v>
      </c>
      <c r="H412" t="s">
        <v>70</v>
      </c>
      <c r="I412" t="s">
        <v>84</v>
      </c>
      <c r="J412" t="s">
        <v>65</v>
      </c>
      <c r="K412" t="s">
        <v>66</v>
      </c>
      <c r="L412">
        <v>3</v>
      </c>
      <c r="M412">
        <v>60</v>
      </c>
      <c r="N412" t="s">
        <v>93</v>
      </c>
      <c r="O412">
        <v>6</v>
      </c>
    </row>
    <row r="413" spans="1:15">
      <c r="A413" s="4">
        <v>45764</v>
      </c>
      <c r="B413" t="s">
        <v>101</v>
      </c>
      <c r="C413" t="s">
        <v>77</v>
      </c>
      <c r="D413">
        <v>5000</v>
      </c>
      <c r="E413" t="s">
        <v>62</v>
      </c>
      <c r="F413" t="s">
        <v>503</v>
      </c>
      <c r="G413" t="s">
        <v>45</v>
      </c>
      <c r="H413" t="s">
        <v>55</v>
      </c>
      <c r="I413" t="s">
        <v>79</v>
      </c>
      <c r="J413" t="s">
        <v>65</v>
      </c>
      <c r="K413" t="s">
        <v>66</v>
      </c>
      <c r="L413">
        <v>5</v>
      </c>
      <c r="M413">
        <v>60</v>
      </c>
      <c r="N413" t="s">
        <v>59</v>
      </c>
      <c r="O413">
        <v>19</v>
      </c>
    </row>
    <row r="414" spans="1:15">
      <c r="A414" s="4">
        <v>45852</v>
      </c>
      <c r="B414" t="s">
        <v>116</v>
      </c>
      <c r="C414" t="s">
        <v>81</v>
      </c>
      <c r="D414">
        <v>800</v>
      </c>
      <c r="E414" t="s">
        <v>62</v>
      </c>
      <c r="F414" t="s">
        <v>504</v>
      </c>
      <c r="G414" t="s">
        <v>45</v>
      </c>
      <c r="H414" t="s">
        <v>55</v>
      </c>
      <c r="I414" t="s">
        <v>64</v>
      </c>
      <c r="J414" t="s">
        <v>57</v>
      </c>
      <c r="K414" t="s">
        <v>76</v>
      </c>
      <c r="L414">
        <v>1</v>
      </c>
      <c r="M414">
        <v>90</v>
      </c>
      <c r="N414" t="s">
        <v>71</v>
      </c>
      <c r="O414">
        <v>13</v>
      </c>
    </row>
    <row r="415" spans="1:15">
      <c r="A415" s="4">
        <v>45888</v>
      </c>
      <c r="B415" t="s">
        <v>97</v>
      </c>
      <c r="C415" t="s">
        <v>81</v>
      </c>
      <c r="D415">
        <v>280</v>
      </c>
      <c r="E415" t="s">
        <v>53</v>
      </c>
      <c r="F415" t="s">
        <v>505</v>
      </c>
      <c r="G415" t="s">
        <v>46</v>
      </c>
      <c r="H415" t="s">
        <v>70</v>
      </c>
      <c r="I415" t="s">
        <v>88</v>
      </c>
      <c r="J415" t="s">
        <v>57</v>
      </c>
      <c r="K415" t="s">
        <v>58</v>
      </c>
      <c r="L415">
        <v>2</v>
      </c>
      <c r="M415">
        <v>90</v>
      </c>
      <c r="N415" t="s">
        <v>71</v>
      </c>
      <c r="O415">
        <v>8</v>
      </c>
    </row>
    <row r="416" spans="1:15">
      <c r="A416" s="4">
        <v>45699</v>
      </c>
      <c r="B416" t="s">
        <v>90</v>
      </c>
      <c r="C416" t="s">
        <v>61</v>
      </c>
      <c r="D416">
        <v>4590</v>
      </c>
      <c r="E416" t="s">
        <v>74</v>
      </c>
      <c r="F416" t="s">
        <v>506</v>
      </c>
      <c r="G416" t="s">
        <v>46</v>
      </c>
      <c r="H416" t="s">
        <v>70</v>
      </c>
      <c r="I416" t="s">
        <v>92</v>
      </c>
      <c r="J416" t="s">
        <v>57</v>
      </c>
      <c r="K416" t="s">
        <v>66</v>
      </c>
      <c r="L416">
        <v>1</v>
      </c>
      <c r="M416">
        <v>60</v>
      </c>
      <c r="N416" t="s">
        <v>71</v>
      </c>
      <c r="O416">
        <v>9</v>
      </c>
    </row>
    <row r="417" spans="1:15">
      <c r="A417" s="4">
        <v>45929</v>
      </c>
      <c r="B417" t="s">
        <v>51</v>
      </c>
      <c r="C417" t="s">
        <v>52</v>
      </c>
      <c r="D417">
        <v>4060</v>
      </c>
      <c r="E417" t="s">
        <v>74</v>
      </c>
      <c r="F417" t="s">
        <v>507</v>
      </c>
      <c r="G417" t="s">
        <v>46</v>
      </c>
      <c r="H417" t="s">
        <v>55</v>
      </c>
      <c r="I417" t="s">
        <v>84</v>
      </c>
      <c r="J417" t="s">
        <v>57</v>
      </c>
      <c r="K417" t="s">
        <v>58</v>
      </c>
      <c r="L417">
        <v>3</v>
      </c>
      <c r="M417">
        <v>45</v>
      </c>
      <c r="N417" t="s">
        <v>59</v>
      </c>
      <c r="O417">
        <v>19</v>
      </c>
    </row>
    <row r="418" spans="1:15">
      <c r="A418" s="4">
        <v>45773</v>
      </c>
      <c r="B418" t="s">
        <v>67</v>
      </c>
      <c r="C418" t="s">
        <v>61</v>
      </c>
      <c r="D418">
        <v>4320</v>
      </c>
      <c r="E418" t="s">
        <v>53</v>
      </c>
      <c r="F418" t="s">
        <v>508</v>
      </c>
      <c r="G418" t="s">
        <v>45</v>
      </c>
      <c r="H418" t="s">
        <v>70</v>
      </c>
      <c r="I418" t="s">
        <v>92</v>
      </c>
      <c r="J418" t="s">
        <v>65</v>
      </c>
      <c r="K418" t="s">
        <v>76</v>
      </c>
      <c r="L418">
        <v>4</v>
      </c>
      <c r="M418">
        <v>60</v>
      </c>
      <c r="N418" t="s">
        <v>71</v>
      </c>
      <c r="O418">
        <v>17</v>
      </c>
    </row>
    <row r="419" spans="1:15">
      <c r="A419" s="4">
        <v>45766</v>
      </c>
      <c r="B419" t="s">
        <v>51</v>
      </c>
      <c r="C419" t="s">
        <v>81</v>
      </c>
      <c r="D419">
        <v>1960</v>
      </c>
      <c r="E419" t="s">
        <v>53</v>
      </c>
      <c r="F419" t="s">
        <v>509</v>
      </c>
      <c r="G419" t="s">
        <v>46</v>
      </c>
      <c r="H419" t="s">
        <v>55</v>
      </c>
      <c r="I419" t="s">
        <v>92</v>
      </c>
      <c r="J419" t="s">
        <v>65</v>
      </c>
      <c r="K419" t="s">
        <v>58</v>
      </c>
      <c r="L419">
        <v>1</v>
      </c>
      <c r="M419">
        <v>90</v>
      </c>
      <c r="N419" t="s">
        <v>71</v>
      </c>
      <c r="O419">
        <v>9</v>
      </c>
    </row>
    <row r="420" spans="1:15">
      <c r="A420" s="4">
        <v>45817</v>
      </c>
      <c r="B420" t="s">
        <v>72</v>
      </c>
      <c r="C420" t="s">
        <v>73</v>
      </c>
      <c r="D420">
        <v>1350</v>
      </c>
      <c r="E420" t="s">
        <v>62</v>
      </c>
      <c r="F420" t="s">
        <v>510</v>
      </c>
      <c r="G420" t="s">
        <v>45</v>
      </c>
      <c r="H420" t="s">
        <v>70</v>
      </c>
      <c r="I420" t="s">
        <v>79</v>
      </c>
      <c r="J420" t="s">
        <v>57</v>
      </c>
      <c r="K420" t="s">
        <v>66</v>
      </c>
      <c r="L420">
        <v>1</v>
      </c>
      <c r="M420">
        <v>90</v>
      </c>
      <c r="N420" t="s">
        <v>71</v>
      </c>
      <c r="O420">
        <v>11</v>
      </c>
    </row>
    <row r="421" spans="1:15">
      <c r="A421" s="4">
        <v>45925</v>
      </c>
      <c r="B421" t="s">
        <v>109</v>
      </c>
      <c r="C421" t="s">
        <v>77</v>
      </c>
      <c r="D421">
        <v>3410</v>
      </c>
      <c r="E421" t="s">
        <v>74</v>
      </c>
      <c r="F421" t="s">
        <v>511</v>
      </c>
      <c r="G421" t="s">
        <v>46</v>
      </c>
      <c r="H421" t="s">
        <v>70</v>
      </c>
      <c r="I421" t="s">
        <v>64</v>
      </c>
      <c r="J421" t="s">
        <v>65</v>
      </c>
      <c r="K421" t="s">
        <v>66</v>
      </c>
      <c r="L421">
        <v>3</v>
      </c>
      <c r="M421">
        <v>30</v>
      </c>
      <c r="N421" t="s">
        <v>59</v>
      </c>
      <c r="O421">
        <v>19</v>
      </c>
    </row>
    <row r="422" spans="1:15">
      <c r="A422" s="4">
        <v>45831</v>
      </c>
      <c r="B422" t="s">
        <v>97</v>
      </c>
      <c r="C422" t="s">
        <v>52</v>
      </c>
      <c r="D422">
        <v>960</v>
      </c>
      <c r="E422" t="s">
        <v>53</v>
      </c>
      <c r="F422" t="s">
        <v>512</v>
      </c>
      <c r="G422" t="s">
        <v>45</v>
      </c>
      <c r="H422" t="s">
        <v>55</v>
      </c>
      <c r="I422" t="s">
        <v>64</v>
      </c>
      <c r="J422" t="s">
        <v>57</v>
      </c>
      <c r="K422" t="s">
        <v>58</v>
      </c>
      <c r="L422">
        <v>2</v>
      </c>
      <c r="M422">
        <v>60</v>
      </c>
      <c r="N422" t="s">
        <v>59</v>
      </c>
      <c r="O422">
        <v>12</v>
      </c>
    </row>
    <row r="423" spans="1:15">
      <c r="A423" s="4">
        <v>45681</v>
      </c>
      <c r="B423" t="s">
        <v>109</v>
      </c>
      <c r="C423" t="s">
        <v>68</v>
      </c>
      <c r="D423">
        <v>440</v>
      </c>
      <c r="E423" t="s">
        <v>62</v>
      </c>
      <c r="F423" t="s">
        <v>513</v>
      </c>
      <c r="G423" t="s">
        <v>46</v>
      </c>
      <c r="H423" t="s">
        <v>55</v>
      </c>
      <c r="I423" t="s">
        <v>92</v>
      </c>
      <c r="J423" t="s">
        <v>57</v>
      </c>
      <c r="K423" t="s">
        <v>76</v>
      </c>
      <c r="L423">
        <v>3</v>
      </c>
      <c r="M423">
        <v>90</v>
      </c>
      <c r="N423" t="s">
        <v>93</v>
      </c>
      <c r="O423">
        <v>20</v>
      </c>
    </row>
    <row r="424" spans="1:15">
      <c r="A424" s="4">
        <v>45895</v>
      </c>
      <c r="B424" t="s">
        <v>60</v>
      </c>
      <c r="C424" t="s">
        <v>73</v>
      </c>
      <c r="D424">
        <v>3360</v>
      </c>
      <c r="E424" t="s">
        <v>62</v>
      </c>
      <c r="F424" t="s">
        <v>514</v>
      </c>
      <c r="G424" t="s">
        <v>46</v>
      </c>
      <c r="H424" t="s">
        <v>55</v>
      </c>
      <c r="I424" t="s">
        <v>79</v>
      </c>
      <c r="J424" t="s">
        <v>57</v>
      </c>
      <c r="K424" t="s">
        <v>58</v>
      </c>
      <c r="L424">
        <v>5</v>
      </c>
      <c r="M424">
        <v>30</v>
      </c>
      <c r="N424" t="s">
        <v>59</v>
      </c>
      <c r="O424">
        <v>19</v>
      </c>
    </row>
    <row r="425" spans="1:15">
      <c r="A425" s="4">
        <v>45984</v>
      </c>
      <c r="B425" t="s">
        <v>80</v>
      </c>
      <c r="C425" t="s">
        <v>86</v>
      </c>
      <c r="D425">
        <v>2740</v>
      </c>
      <c r="E425" t="s">
        <v>74</v>
      </c>
      <c r="F425" t="s">
        <v>515</v>
      </c>
      <c r="G425" t="s">
        <v>46</v>
      </c>
      <c r="H425" t="s">
        <v>55</v>
      </c>
      <c r="I425" t="s">
        <v>56</v>
      </c>
      <c r="J425" t="s">
        <v>65</v>
      </c>
      <c r="K425" t="s">
        <v>66</v>
      </c>
      <c r="L425">
        <v>4</v>
      </c>
      <c r="M425">
        <v>45</v>
      </c>
      <c r="N425" t="s">
        <v>71</v>
      </c>
      <c r="O425">
        <v>18</v>
      </c>
    </row>
    <row r="426" spans="1:15">
      <c r="A426" s="4">
        <v>45767</v>
      </c>
      <c r="B426" t="s">
        <v>109</v>
      </c>
      <c r="C426" t="s">
        <v>81</v>
      </c>
      <c r="D426">
        <v>2070</v>
      </c>
      <c r="E426" t="s">
        <v>53</v>
      </c>
      <c r="F426" t="s">
        <v>516</v>
      </c>
      <c r="G426" t="s">
        <v>45</v>
      </c>
      <c r="H426" t="s">
        <v>55</v>
      </c>
      <c r="I426" t="s">
        <v>79</v>
      </c>
      <c r="J426" t="s">
        <v>65</v>
      </c>
      <c r="K426" t="s">
        <v>66</v>
      </c>
      <c r="L426">
        <v>4</v>
      </c>
      <c r="M426">
        <v>60</v>
      </c>
      <c r="N426" t="s">
        <v>59</v>
      </c>
      <c r="O426">
        <v>19</v>
      </c>
    </row>
    <row r="427" spans="1:15">
      <c r="A427" s="4">
        <v>45752</v>
      </c>
      <c r="B427" t="s">
        <v>85</v>
      </c>
      <c r="C427" t="s">
        <v>81</v>
      </c>
      <c r="D427">
        <v>1910</v>
      </c>
      <c r="E427" t="s">
        <v>53</v>
      </c>
      <c r="F427" t="s">
        <v>517</v>
      </c>
      <c r="G427" t="s">
        <v>46</v>
      </c>
      <c r="H427" t="s">
        <v>55</v>
      </c>
      <c r="I427" t="s">
        <v>88</v>
      </c>
      <c r="J427" t="s">
        <v>65</v>
      </c>
      <c r="K427" t="s">
        <v>66</v>
      </c>
      <c r="L427">
        <v>2</v>
      </c>
      <c r="M427">
        <v>30</v>
      </c>
      <c r="N427" t="s">
        <v>71</v>
      </c>
      <c r="O427">
        <v>18</v>
      </c>
    </row>
    <row r="428" spans="1:15">
      <c r="A428" s="4">
        <v>45930</v>
      </c>
      <c r="B428" t="s">
        <v>67</v>
      </c>
      <c r="C428" t="s">
        <v>73</v>
      </c>
      <c r="D428">
        <v>670</v>
      </c>
      <c r="E428" t="s">
        <v>74</v>
      </c>
      <c r="F428" t="s">
        <v>518</v>
      </c>
      <c r="G428" t="s">
        <v>45</v>
      </c>
      <c r="H428" t="s">
        <v>70</v>
      </c>
      <c r="I428" t="s">
        <v>64</v>
      </c>
      <c r="J428" t="s">
        <v>57</v>
      </c>
      <c r="K428" t="s">
        <v>76</v>
      </c>
      <c r="L428">
        <v>3</v>
      </c>
      <c r="M428">
        <v>90</v>
      </c>
      <c r="N428" t="s">
        <v>59</v>
      </c>
      <c r="O428">
        <v>18</v>
      </c>
    </row>
    <row r="429" spans="1:15">
      <c r="A429" s="4">
        <v>45926</v>
      </c>
      <c r="B429" t="s">
        <v>80</v>
      </c>
      <c r="C429" t="s">
        <v>61</v>
      </c>
      <c r="D429">
        <v>1910</v>
      </c>
      <c r="E429" t="s">
        <v>62</v>
      </c>
      <c r="F429" t="s">
        <v>519</v>
      </c>
      <c r="G429" t="s">
        <v>45</v>
      </c>
      <c r="H429" t="s">
        <v>55</v>
      </c>
      <c r="I429" t="s">
        <v>79</v>
      </c>
      <c r="J429" t="s">
        <v>65</v>
      </c>
      <c r="K429" t="s">
        <v>76</v>
      </c>
      <c r="L429">
        <v>2</v>
      </c>
      <c r="M429">
        <v>90</v>
      </c>
      <c r="N429" t="s">
        <v>93</v>
      </c>
      <c r="O429">
        <v>4</v>
      </c>
    </row>
    <row r="430" spans="1:15">
      <c r="A430" s="4">
        <v>45693</v>
      </c>
      <c r="B430" t="s">
        <v>67</v>
      </c>
      <c r="C430" t="s">
        <v>73</v>
      </c>
      <c r="D430">
        <v>3740</v>
      </c>
      <c r="E430" t="s">
        <v>74</v>
      </c>
      <c r="F430" t="s">
        <v>520</v>
      </c>
      <c r="G430" t="s">
        <v>45</v>
      </c>
      <c r="H430" t="s">
        <v>70</v>
      </c>
      <c r="I430" t="s">
        <v>84</v>
      </c>
      <c r="J430" t="s">
        <v>65</v>
      </c>
      <c r="K430" t="s">
        <v>58</v>
      </c>
      <c r="L430">
        <v>1</v>
      </c>
      <c r="M430">
        <v>45</v>
      </c>
      <c r="N430" t="s">
        <v>59</v>
      </c>
      <c r="O430">
        <v>14</v>
      </c>
    </row>
    <row r="431" spans="1:15">
      <c r="A431" s="4">
        <v>45665</v>
      </c>
      <c r="B431" t="s">
        <v>85</v>
      </c>
      <c r="C431" t="s">
        <v>52</v>
      </c>
      <c r="D431">
        <v>2810</v>
      </c>
      <c r="E431" t="s">
        <v>62</v>
      </c>
      <c r="F431" t="s">
        <v>521</v>
      </c>
      <c r="G431" t="s">
        <v>45</v>
      </c>
      <c r="H431" t="s">
        <v>55</v>
      </c>
      <c r="I431" t="s">
        <v>88</v>
      </c>
      <c r="J431" t="s">
        <v>65</v>
      </c>
      <c r="K431" t="s">
        <v>66</v>
      </c>
      <c r="L431">
        <v>5</v>
      </c>
      <c r="M431">
        <v>30</v>
      </c>
      <c r="N431" t="s">
        <v>71</v>
      </c>
      <c r="O431">
        <v>15</v>
      </c>
    </row>
    <row r="432" spans="1:15">
      <c r="A432" s="4">
        <v>45705</v>
      </c>
      <c r="B432" t="s">
        <v>80</v>
      </c>
      <c r="C432" t="s">
        <v>77</v>
      </c>
      <c r="D432">
        <v>3530</v>
      </c>
      <c r="E432" t="s">
        <v>74</v>
      </c>
      <c r="F432" t="s">
        <v>522</v>
      </c>
      <c r="G432" t="s">
        <v>45</v>
      </c>
      <c r="H432" t="s">
        <v>70</v>
      </c>
      <c r="I432" t="s">
        <v>56</v>
      </c>
      <c r="J432" t="s">
        <v>57</v>
      </c>
      <c r="K432" t="s">
        <v>76</v>
      </c>
      <c r="L432">
        <v>2</v>
      </c>
      <c r="M432">
        <v>60</v>
      </c>
      <c r="N432" t="s">
        <v>93</v>
      </c>
      <c r="O432">
        <v>11</v>
      </c>
    </row>
    <row r="433" spans="1:15">
      <c r="A433" s="4">
        <v>45970</v>
      </c>
      <c r="B433" t="s">
        <v>67</v>
      </c>
      <c r="C433" t="s">
        <v>95</v>
      </c>
      <c r="D433">
        <v>2800</v>
      </c>
      <c r="E433" t="s">
        <v>74</v>
      </c>
      <c r="F433" t="s">
        <v>523</v>
      </c>
      <c r="G433" t="s">
        <v>46</v>
      </c>
      <c r="H433" t="s">
        <v>70</v>
      </c>
      <c r="I433" t="s">
        <v>56</v>
      </c>
      <c r="J433" t="s">
        <v>65</v>
      </c>
      <c r="K433" t="s">
        <v>58</v>
      </c>
      <c r="L433">
        <v>2</v>
      </c>
      <c r="M433">
        <v>60</v>
      </c>
      <c r="N433" t="s">
        <v>59</v>
      </c>
      <c r="O433">
        <v>20</v>
      </c>
    </row>
    <row r="434" spans="1:15">
      <c r="A434" s="4">
        <v>45736</v>
      </c>
      <c r="B434" t="s">
        <v>94</v>
      </c>
      <c r="C434" t="s">
        <v>77</v>
      </c>
      <c r="D434">
        <v>3480</v>
      </c>
      <c r="E434" t="s">
        <v>62</v>
      </c>
      <c r="F434" t="s">
        <v>524</v>
      </c>
      <c r="G434" t="s">
        <v>45</v>
      </c>
      <c r="H434" t="s">
        <v>70</v>
      </c>
      <c r="I434" t="s">
        <v>88</v>
      </c>
      <c r="J434" t="s">
        <v>57</v>
      </c>
      <c r="K434" t="s">
        <v>66</v>
      </c>
      <c r="L434">
        <v>2</v>
      </c>
      <c r="M434">
        <v>60</v>
      </c>
      <c r="N434" t="s">
        <v>93</v>
      </c>
      <c r="O434">
        <v>15</v>
      </c>
    </row>
    <row r="435" spans="1:15">
      <c r="A435" s="4">
        <v>45739</v>
      </c>
      <c r="B435" t="s">
        <v>85</v>
      </c>
      <c r="C435" t="s">
        <v>95</v>
      </c>
      <c r="D435">
        <v>3560</v>
      </c>
      <c r="E435" t="s">
        <v>53</v>
      </c>
      <c r="F435" t="s">
        <v>525</v>
      </c>
      <c r="G435" t="s">
        <v>45</v>
      </c>
      <c r="H435" t="s">
        <v>70</v>
      </c>
      <c r="I435" t="s">
        <v>56</v>
      </c>
      <c r="J435" t="s">
        <v>57</v>
      </c>
      <c r="K435" t="s">
        <v>66</v>
      </c>
      <c r="L435">
        <v>5</v>
      </c>
      <c r="M435">
        <v>90</v>
      </c>
      <c r="N435" t="s">
        <v>59</v>
      </c>
      <c r="O435">
        <v>5</v>
      </c>
    </row>
    <row r="436" spans="1:15">
      <c r="A436" s="4">
        <v>45890</v>
      </c>
      <c r="B436" t="s">
        <v>90</v>
      </c>
      <c r="C436" t="s">
        <v>73</v>
      </c>
      <c r="D436">
        <v>2300</v>
      </c>
      <c r="E436" t="s">
        <v>74</v>
      </c>
      <c r="F436" t="s">
        <v>526</v>
      </c>
      <c r="G436" t="s">
        <v>46</v>
      </c>
      <c r="H436" t="s">
        <v>55</v>
      </c>
      <c r="I436" t="s">
        <v>56</v>
      </c>
      <c r="J436" t="s">
        <v>65</v>
      </c>
      <c r="K436" t="s">
        <v>76</v>
      </c>
      <c r="L436">
        <v>3</v>
      </c>
      <c r="M436">
        <v>90</v>
      </c>
      <c r="N436" t="s">
        <v>93</v>
      </c>
      <c r="O436">
        <v>18</v>
      </c>
    </row>
    <row r="437" spans="1:15">
      <c r="A437" s="4">
        <v>45842</v>
      </c>
      <c r="B437" t="s">
        <v>97</v>
      </c>
      <c r="C437" t="s">
        <v>77</v>
      </c>
      <c r="D437">
        <v>4540</v>
      </c>
      <c r="E437" t="s">
        <v>74</v>
      </c>
      <c r="F437" t="s">
        <v>527</v>
      </c>
      <c r="G437" t="s">
        <v>46</v>
      </c>
      <c r="H437" t="s">
        <v>55</v>
      </c>
      <c r="I437" t="s">
        <v>88</v>
      </c>
      <c r="J437" t="s">
        <v>65</v>
      </c>
      <c r="K437" t="s">
        <v>66</v>
      </c>
      <c r="L437">
        <v>3</v>
      </c>
      <c r="M437">
        <v>30</v>
      </c>
      <c r="N437" t="s">
        <v>93</v>
      </c>
      <c r="O437">
        <v>8</v>
      </c>
    </row>
    <row r="438" spans="1:15">
      <c r="A438" s="4">
        <v>45871</v>
      </c>
      <c r="B438" t="s">
        <v>51</v>
      </c>
      <c r="C438" t="s">
        <v>86</v>
      </c>
      <c r="D438">
        <v>570</v>
      </c>
      <c r="E438" t="s">
        <v>74</v>
      </c>
      <c r="F438" t="s">
        <v>528</v>
      </c>
      <c r="G438" t="s">
        <v>45</v>
      </c>
      <c r="H438" t="s">
        <v>70</v>
      </c>
      <c r="I438" t="s">
        <v>92</v>
      </c>
      <c r="J438" t="s">
        <v>65</v>
      </c>
      <c r="K438" t="s">
        <v>66</v>
      </c>
      <c r="L438">
        <v>5</v>
      </c>
      <c r="M438">
        <v>30</v>
      </c>
      <c r="N438" t="s">
        <v>59</v>
      </c>
      <c r="O438">
        <v>8</v>
      </c>
    </row>
    <row r="439" spans="1:15">
      <c r="A439" s="4">
        <v>45842</v>
      </c>
      <c r="B439" t="s">
        <v>109</v>
      </c>
      <c r="C439" t="s">
        <v>98</v>
      </c>
      <c r="D439">
        <v>3150</v>
      </c>
      <c r="E439" t="s">
        <v>53</v>
      </c>
      <c r="F439" t="s">
        <v>529</v>
      </c>
      <c r="G439" t="s">
        <v>45</v>
      </c>
      <c r="H439" t="s">
        <v>55</v>
      </c>
      <c r="I439" t="s">
        <v>88</v>
      </c>
      <c r="J439" t="s">
        <v>57</v>
      </c>
      <c r="K439" t="s">
        <v>58</v>
      </c>
      <c r="L439">
        <v>3</v>
      </c>
      <c r="M439">
        <v>90</v>
      </c>
      <c r="N439" t="s">
        <v>59</v>
      </c>
      <c r="O439">
        <v>9</v>
      </c>
    </row>
    <row r="440" spans="1:15">
      <c r="A440" s="4">
        <v>45848</v>
      </c>
      <c r="B440" t="s">
        <v>109</v>
      </c>
      <c r="C440" t="s">
        <v>77</v>
      </c>
      <c r="D440">
        <v>1690</v>
      </c>
      <c r="E440" t="s">
        <v>53</v>
      </c>
      <c r="F440" t="s">
        <v>530</v>
      </c>
      <c r="G440" t="s">
        <v>45</v>
      </c>
      <c r="H440" t="s">
        <v>55</v>
      </c>
      <c r="I440" t="s">
        <v>88</v>
      </c>
      <c r="J440" t="s">
        <v>57</v>
      </c>
      <c r="K440" t="s">
        <v>66</v>
      </c>
      <c r="L440">
        <v>5</v>
      </c>
      <c r="M440">
        <v>45</v>
      </c>
      <c r="N440" t="s">
        <v>71</v>
      </c>
      <c r="O440">
        <v>10</v>
      </c>
    </row>
    <row r="441" spans="1:15">
      <c r="A441" s="4">
        <v>45947</v>
      </c>
      <c r="B441" t="s">
        <v>67</v>
      </c>
      <c r="C441" t="s">
        <v>81</v>
      </c>
      <c r="D441">
        <v>1050</v>
      </c>
      <c r="E441" t="s">
        <v>74</v>
      </c>
      <c r="F441" t="s">
        <v>531</v>
      </c>
      <c r="G441" t="s">
        <v>46</v>
      </c>
      <c r="H441" t="s">
        <v>55</v>
      </c>
      <c r="I441" t="s">
        <v>56</v>
      </c>
      <c r="J441" t="s">
        <v>57</v>
      </c>
      <c r="K441" t="s">
        <v>76</v>
      </c>
      <c r="L441">
        <v>2</v>
      </c>
      <c r="M441">
        <v>45</v>
      </c>
      <c r="N441" t="s">
        <v>93</v>
      </c>
      <c r="O441">
        <v>18</v>
      </c>
    </row>
    <row r="442" spans="1:15">
      <c r="A442" s="4">
        <v>45720</v>
      </c>
      <c r="B442" t="s">
        <v>72</v>
      </c>
      <c r="C442" t="s">
        <v>52</v>
      </c>
      <c r="D442">
        <v>920</v>
      </c>
      <c r="E442" t="s">
        <v>74</v>
      </c>
      <c r="F442" t="s">
        <v>532</v>
      </c>
      <c r="G442" t="s">
        <v>46</v>
      </c>
      <c r="H442" t="s">
        <v>70</v>
      </c>
      <c r="I442" t="s">
        <v>64</v>
      </c>
      <c r="J442" t="s">
        <v>57</v>
      </c>
      <c r="K442" t="s">
        <v>66</v>
      </c>
      <c r="L442">
        <v>3</v>
      </c>
      <c r="M442">
        <v>60</v>
      </c>
      <c r="N442" t="s">
        <v>93</v>
      </c>
      <c r="O442">
        <v>4</v>
      </c>
    </row>
    <row r="443" spans="1:15">
      <c r="A443" s="4">
        <v>45824</v>
      </c>
      <c r="B443" t="s">
        <v>101</v>
      </c>
      <c r="C443" t="s">
        <v>52</v>
      </c>
      <c r="D443">
        <v>2920</v>
      </c>
      <c r="E443" t="s">
        <v>62</v>
      </c>
      <c r="F443" t="s">
        <v>533</v>
      </c>
      <c r="G443" t="s">
        <v>46</v>
      </c>
      <c r="H443" t="s">
        <v>55</v>
      </c>
      <c r="I443" t="s">
        <v>56</v>
      </c>
      <c r="J443" t="s">
        <v>57</v>
      </c>
      <c r="K443" t="s">
        <v>58</v>
      </c>
      <c r="L443">
        <v>2</v>
      </c>
      <c r="M443">
        <v>45</v>
      </c>
      <c r="N443" t="s">
        <v>93</v>
      </c>
      <c r="O443">
        <v>13</v>
      </c>
    </row>
    <row r="444" spans="1:15">
      <c r="A444" s="4">
        <v>45827</v>
      </c>
      <c r="B444" t="s">
        <v>94</v>
      </c>
      <c r="C444" t="s">
        <v>52</v>
      </c>
      <c r="D444">
        <v>3740</v>
      </c>
      <c r="E444" t="s">
        <v>62</v>
      </c>
      <c r="F444" t="s">
        <v>534</v>
      </c>
      <c r="G444" t="s">
        <v>46</v>
      </c>
      <c r="H444" t="s">
        <v>70</v>
      </c>
      <c r="I444" t="s">
        <v>84</v>
      </c>
      <c r="J444" t="s">
        <v>57</v>
      </c>
      <c r="K444" t="s">
        <v>76</v>
      </c>
      <c r="L444">
        <v>3</v>
      </c>
      <c r="M444">
        <v>90</v>
      </c>
      <c r="N444" t="s">
        <v>71</v>
      </c>
      <c r="O444">
        <v>6</v>
      </c>
    </row>
    <row r="445" spans="1:15">
      <c r="A445" s="4">
        <v>45698</v>
      </c>
      <c r="B445" t="s">
        <v>97</v>
      </c>
      <c r="C445" t="s">
        <v>98</v>
      </c>
      <c r="D445">
        <v>4180</v>
      </c>
      <c r="E445" t="s">
        <v>74</v>
      </c>
      <c r="F445" t="s">
        <v>535</v>
      </c>
      <c r="G445" t="s">
        <v>46</v>
      </c>
      <c r="H445" t="s">
        <v>70</v>
      </c>
      <c r="I445" t="s">
        <v>56</v>
      </c>
      <c r="J445" t="s">
        <v>65</v>
      </c>
      <c r="K445" t="s">
        <v>58</v>
      </c>
      <c r="L445">
        <v>2</v>
      </c>
      <c r="M445">
        <v>30</v>
      </c>
      <c r="N445" t="s">
        <v>59</v>
      </c>
      <c r="O445">
        <v>10</v>
      </c>
    </row>
    <row r="446" spans="1:15">
      <c r="A446" s="4">
        <v>45900</v>
      </c>
      <c r="B446" t="s">
        <v>85</v>
      </c>
      <c r="C446" t="s">
        <v>95</v>
      </c>
      <c r="D446">
        <v>3590</v>
      </c>
      <c r="E446" t="s">
        <v>62</v>
      </c>
      <c r="F446" t="s">
        <v>536</v>
      </c>
      <c r="G446" t="s">
        <v>45</v>
      </c>
      <c r="H446" t="s">
        <v>55</v>
      </c>
      <c r="I446" t="s">
        <v>88</v>
      </c>
      <c r="J446" t="s">
        <v>65</v>
      </c>
      <c r="K446" t="s">
        <v>58</v>
      </c>
      <c r="L446">
        <v>5</v>
      </c>
      <c r="M446">
        <v>45</v>
      </c>
      <c r="N446" t="s">
        <v>71</v>
      </c>
      <c r="O446">
        <v>15</v>
      </c>
    </row>
    <row r="447" spans="1:15">
      <c r="A447" s="4">
        <v>45694</v>
      </c>
      <c r="B447" t="s">
        <v>51</v>
      </c>
      <c r="C447" t="s">
        <v>77</v>
      </c>
      <c r="D447">
        <v>760</v>
      </c>
      <c r="E447" t="s">
        <v>74</v>
      </c>
      <c r="F447" t="s">
        <v>537</v>
      </c>
      <c r="G447" t="s">
        <v>46</v>
      </c>
      <c r="H447" t="s">
        <v>55</v>
      </c>
      <c r="I447" t="s">
        <v>79</v>
      </c>
      <c r="J447" t="s">
        <v>57</v>
      </c>
      <c r="K447" t="s">
        <v>58</v>
      </c>
      <c r="L447">
        <v>2</v>
      </c>
      <c r="M447">
        <v>45</v>
      </c>
      <c r="N447" t="s">
        <v>71</v>
      </c>
      <c r="O447">
        <v>4</v>
      </c>
    </row>
    <row r="448" spans="1:15">
      <c r="A448" s="4">
        <v>45736</v>
      </c>
      <c r="B448" t="s">
        <v>109</v>
      </c>
      <c r="C448" t="s">
        <v>77</v>
      </c>
      <c r="D448">
        <v>1640</v>
      </c>
      <c r="E448" t="s">
        <v>62</v>
      </c>
      <c r="F448" t="s">
        <v>538</v>
      </c>
      <c r="G448" t="s">
        <v>46</v>
      </c>
      <c r="H448" t="s">
        <v>55</v>
      </c>
      <c r="I448" t="s">
        <v>79</v>
      </c>
      <c r="J448" t="s">
        <v>65</v>
      </c>
      <c r="K448" t="s">
        <v>66</v>
      </c>
      <c r="L448">
        <v>2</v>
      </c>
      <c r="M448">
        <v>45</v>
      </c>
      <c r="N448" t="s">
        <v>71</v>
      </c>
      <c r="O448">
        <v>9</v>
      </c>
    </row>
    <row r="449" spans="1:15">
      <c r="A449" s="4">
        <v>45948</v>
      </c>
      <c r="B449" t="s">
        <v>101</v>
      </c>
      <c r="C449" t="s">
        <v>77</v>
      </c>
      <c r="D449">
        <v>1560</v>
      </c>
      <c r="E449" t="s">
        <v>62</v>
      </c>
      <c r="F449" t="s">
        <v>539</v>
      </c>
      <c r="G449" t="s">
        <v>45</v>
      </c>
      <c r="H449" t="s">
        <v>55</v>
      </c>
      <c r="I449" t="s">
        <v>56</v>
      </c>
      <c r="J449" t="s">
        <v>65</v>
      </c>
      <c r="K449" t="s">
        <v>58</v>
      </c>
      <c r="L449">
        <v>1</v>
      </c>
      <c r="M449">
        <v>90</v>
      </c>
      <c r="N449" t="s">
        <v>93</v>
      </c>
      <c r="O449">
        <v>14</v>
      </c>
    </row>
    <row r="450" spans="1:15">
      <c r="A450" s="4">
        <v>45927</v>
      </c>
      <c r="B450" t="s">
        <v>60</v>
      </c>
      <c r="C450" t="s">
        <v>86</v>
      </c>
      <c r="D450">
        <v>2690</v>
      </c>
      <c r="E450" t="s">
        <v>53</v>
      </c>
      <c r="F450" t="s">
        <v>540</v>
      </c>
      <c r="G450" t="s">
        <v>45</v>
      </c>
      <c r="H450" t="s">
        <v>70</v>
      </c>
      <c r="I450" t="s">
        <v>92</v>
      </c>
      <c r="J450" t="s">
        <v>57</v>
      </c>
      <c r="K450" t="s">
        <v>76</v>
      </c>
      <c r="L450">
        <v>1</v>
      </c>
      <c r="M450">
        <v>90</v>
      </c>
      <c r="N450" t="s">
        <v>59</v>
      </c>
      <c r="O450">
        <v>12</v>
      </c>
    </row>
    <row r="451" spans="1:15">
      <c r="A451" s="4">
        <v>45906</v>
      </c>
      <c r="B451" t="s">
        <v>80</v>
      </c>
      <c r="C451" t="s">
        <v>86</v>
      </c>
      <c r="D451">
        <v>3320</v>
      </c>
      <c r="E451" t="s">
        <v>74</v>
      </c>
      <c r="F451" t="s">
        <v>541</v>
      </c>
      <c r="G451" t="s">
        <v>46</v>
      </c>
      <c r="H451" t="s">
        <v>70</v>
      </c>
      <c r="I451" t="s">
        <v>79</v>
      </c>
      <c r="J451" t="s">
        <v>65</v>
      </c>
      <c r="K451" t="s">
        <v>76</v>
      </c>
      <c r="L451">
        <v>2</v>
      </c>
      <c r="M451">
        <v>45</v>
      </c>
      <c r="N451" t="s">
        <v>71</v>
      </c>
      <c r="O451">
        <v>3</v>
      </c>
    </row>
    <row r="452" spans="1:15">
      <c r="A452" s="4">
        <v>45950</v>
      </c>
      <c r="B452" t="s">
        <v>101</v>
      </c>
      <c r="C452" t="s">
        <v>68</v>
      </c>
      <c r="D452">
        <v>4620</v>
      </c>
      <c r="E452" t="s">
        <v>62</v>
      </c>
      <c r="F452" t="s">
        <v>542</v>
      </c>
      <c r="G452" t="s">
        <v>46</v>
      </c>
      <c r="H452" t="s">
        <v>55</v>
      </c>
      <c r="I452" t="s">
        <v>79</v>
      </c>
      <c r="J452" t="s">
        <v>65</v>
      </c>
      <c r="K452" t="s">
        <v>66</v>
      </c>
      <c r="L452">
        <v>4</v>
      </c>
      <c r="M452">
        <v>45</v>
      </c>
      <c r="N452" t="s">
        <v>59</v>
      </c>
      <c r="O452">
        <v>10</v>
      </c>
    </row>
    <row r="453" spans="1:15">
      <c r="A453" s="4">
        <v>45974</v>
      </c>
      <c r="B453" t="s">
        <v>94</v>
      </c>
      <c r="C453" t="s">
        <v>73</v>
      </c>
      <c r="D453">
        <v>3180</v>
      </c>
      <c r="E453" t="s">
        <v>74</v>
      </c>
      <c r="F453" t="s">
        <v>543</v>
      </c>
      <c r="G453" t="s">
        <v>46</v>
      </c>
      <c r="H453" t="s">
        <v>70</v>
      </c>
      <c r="I453" t="s">
        <v>84</v>
      </c>
      <c r="J453" t="s">
        <v>57</v>
      </c>
      <c r="K453" t="s">
        <v>76</v>
      </c>
      <c r="L453">
        <v>5</v>
      </c>
      <c r="M453">
        <v>30</v>
      </c>
      <c r="N453" t="s">
        <v>59</v>
      </c>
      <c r="O453">
        <v>7</v>
      </c>
    </row>
    <row r="454" spans="1:15">
      <c r="A454" s="4">
        <v>45692</v>
      </c>
      <c r="B454" t="s">
        <v>80</v>
      </c>
      <c r="C454" t="s">
        <v>95</v>
      </c>
      <c r="D454">
        <v>3870</v>
      </c>
      <c r="E454" t="s">
        <v>74</v>
      </c>
      <c r="F454" t="s">
        <v>544</v>
      </c>
      <c r="G454" t="s">
        <v>46</v>
      </c>
      <c r="H454" t="s">
        <v>70</v>
      </c>
      <c r="I454" t="s">
        <v>84</v>
      </c>
      <c r="J454" t="s">
        <v>57</v>
      </c>
      <c r="K454" t="s">
        <v>76</v>
      </c>
      <c r="L454">
        <v>2</v>
      </c>
      <c r="M454">
        <v>30</v>
      </c>
      <c r="N454" t="s">
        <v>59</v>
      </c>
      <c r="O454">
        <v>17</v>
      </c>
    </row>
    <row r="455" spans="1:15">
      <c r="A455" s="4">
        <v>45846</v>
      </c>
      <c r="B455" t="s">
        <v>94</v>
      </c>
      <c r="C455" t="s">
        <v>77</v>
      </c>
      <c r="D455">
        <v>4030</v>
      </c>
      <c r="E455" t="s">
        <v>74</v>
      </c>
      <c r="F455" t="s">
        <v>545</v>
      </c>
      <c r="G455" t="s">
        <v>45</v>
      </c>
      <c r="H455" t="s">
        <v>70</v>
      </c>
      <c r="I455" t="s">
        <v>64</v>
      </c>
      <c r="J455" t="s">
        <v>57</v>
      </c>
      <c r="K455" t="s">
        <v>66</v>
      </c>
      <c r="L455">
        <v>3</v>
      </c>
      <c r="M455">
        <v>90</v>
      </c>
      <c r="N455" t="s">
        <v>93</v>
      </c>
      <c r="O455">
        <v>7</v>
      </c>
    </row>
    <row r="456" spans="1:15">
      <c r="A456" s="4">
        <v>45727</v>
      </c>
      <c r="B456" t="s">
        <v>97</v>
      </c>
      <c r="C456" t="s">
        <v>77</v>
      </c>
      <c r="D456">
        <v>2090</v>
      </c>
      <c r="E456" t="s">
        <v>53</v>
      </c>
      <c r="F456" t="s">
        <v>546</v>
      </c>
      <c r="G456" t="s">
        <v>45</v>
      </c>
      <c r="H456" t="s">
        <v>55</v>
      </c>
      <c r="I456" t="s">
        <v>92</v>
      </c>
      <c r="J456" t="s">
        <v>65</v>
      </c>
      <c r="K456" t="s">
        <v>66</v>
      </c>
      <c r="L456">
        <v>2</v>
      </c>
      <c r="M456">
        <v>60</v>
      </c>
      <c r="N456" t="s">
        <v>71</v>
      </c>
      <c r="O456">
        <v>20</v>
      </c>
    </row>
    <row r="457" spans="1:15">
      <c r="A457" s="4">
        <v>45685</v>
      </c>
      <c r="B457" t="s">
        <v>80</v>
      </c>
      <c r="C457" t="s">
        <v>77</v>
      </c>
      <c r="D457">
        <v>780</v>
      </c>
      <c r="E457" t="s">
        <v>74</v>
      </c>
      <c r="F457" t="s">
        <v>547</v>
      </c>
      <c r="G457" t="s">
        <v>46</v>
      </c>
      <c r="H457" t="s">
        <v>55</v>
      </c>
      <c r="I457" t="s">
        <v>84</v>
      </c>
      <c r="J457" t="s">
        <v>65</v>
      </c>
      <c r="K457" t="s">
        <v>58</v>
      </c>
      <c r="L457">
        <v>5</v>
      </c>
      <c r="M457">
        <v>30</v>
      </c>
      <c r="N457" t="s">
        <v>59</v>
      </c>
      <c r="O457">
        <v>15</v>
      </c>
    </row>
    <row r="458" spans="1:15">
      <c r="A458" s="4">
        <v>45785</v>
      </c>
      <c r="B458" t="s">
        <v>67</v>
      </c>
      <c r="C458" t="s">
        <v>86</v>
      </c>
      <c r="D458">
        <v>4460</v>
      </c>
      <c r="E458" t="s">
        <v>53</v>
      </c>
      <c r="F458" t="s">
        <v>548</v>
      </c>
      <c r="G458" t="s">
        <v>46</v>
      </c>
      <c r="H458" t="s">
        <v>55</v>
      </c>
      <c r="I458" t="s">
        <v>88</v>
      </c>
      <c r="J458" t="s">
        <v>65</v>
      </c>
      <c r="K458" t="s">
        <v>58</v>
      </c>
      <c r="L458">
        <v>2</v>
      </c>
      <c r="M458">
        <v>45</v>
      </c>
      <c r="N458" t="s">
        <v>93</v>
      </c>
      <c r="O458">
        <v>8</v>
      </c>
    </row>
    <row r="459" spans="1:15">
      <c r="A459" s="4">
        <v>45947</v>
      </c>
      <c r="B459" t="s">
        <v>51</v>
      </c>
      <c r="C459" t="s">
        <v>95</v>
      </c>
      <c r="D459">
        <v>360</v>
      </c>
      <c r="E459" t="s">
        <v>62</v>
      </c>
      <c r="F459" t="s">
        <v>549</v>
      </c>
      <c r="G459" t="s">
        <v>46</v>
      </c>
      <c r="H459" t="s">
        <v>55</v>
      </c>
      <c r="I459" t="s">
        <v>56</v>
      </c>
      <c r="J459" t="s">
        <v>65</v>
      </c>
      <c r="K459" t="s">
        <v>66</v>
      </c>
      <c r="L459">
        <v>1</v>
      </c>
      <c r="M459">
        <v>45</v>
      </c>
      <c r="N459" t="s">
        <v>93</v>
      </c>
      <c r="O459">
        <v>18</v>
      </c>
    </row>
    <row r="460" spans="1:15">
      <c r="A460" s="4">
        <v>45888</v>
      </c>
      <c r="B460" t="s">
        <v>90</v>
      </c>
      <c r="C460" t="s">
        <v>114</v>
      </c>
      <c r="D460">
        <v>2670</v>
      </c>
      <c r="E460" t="s">
        <v>74</v>
      </c>
      <c r="F460" t="s">
        <v>550</v>
      </c>
      <c r="G460" t="s">
        <v>45</v>
      </c>
      <c r="H460" t="s">
        <v>70</v>
      </c>
      <c r="I460" t="s">
        <v>88</v>
      </c>
      <c r="J460" t="s">
        <v>65</v>
      </c>
      <c r="K460" t="s">
        <v>76</v>
      </c>
      <c r="L460">
        <v>5</v>
      </c>
      <c r="M460">
        <v>45</v>
      </c>
      <c r="N460" t="s">
        <v>59</v>
      </c>
      <c r="O460">
        <v>6</v>
      </c>
    </row>
    <row r="461" spans="1:15">
      <c r="A461" s="4">
        <v>45735</v>
      </c>
      <c r="B461" t="s">
        <v>72</v>
      </c>
      <c r="C461" t="s">
        <v>114</v>
      </c>
      <c r="D461">
        <v>2360</v>
      </c>
      <c r="E461" t="s">
        <v>62</v>
      </c>
      <c r="F461" t="s">
        <v>551</v>
      </c>
      <c r="G461" t="s">
        <v>45</v>
      </c>
      <c r="H461" t="s">
        <v>70</v>
      </c>
      <c r="I461" t="s">
        <v>79</v>
      </c>
      <c r="J461" t="s">
        <v>57</v>
      </c>
      <c r="K461" t="s">
        <v>76</v>
      </c>
      <c r="L461">
        <v>3</v>
      </c>
      <c r="M461">
        <v>45</v>
      </c>
      <c r="N461" t="s">
        <v>93</v>
      </c>
      <c r="O461">
        <v>5</v>
      </c>
    </row>
    <row r="462" spans="1:15">
      <c r="A462" s="4">
        <v>45956</v>
      </c>
      <c r="B462" t="s">
        <v>101</v>
      </c>
      <c r="C462" t="s">
        <v>73</v>
      </c>
      <c r="D462">
        <v>3850</v>
      </c>
      <c r="E462" t="s">
        <v>62</v>
      </c>
      <c r="F462" t="s">
        <v>552</v>
      </c>
      <c r="G462" t="s">
        <v>46</v>
      </c>
      <c r="H462" t="s">
        <v>70</v>
      </c>
      <c r="I462" t="s">
        <v>56</v>
      </c>
      <c r="J462" t="s">
        <v>65</v>
      </c>
      <c r="K462" t="s">
        <v>66</v>
      </c>
      <c r="L462">
        <v>4</v>
      </c>
      <c r="M462">
        <v>90</v>
      </c>
      <c r="N462" t="s">
        <v>59</v>
      </c>
      <c r="O462">
        <v>19</v>
      </c>
    </row>
    <row r="463" spans="1:15">
      <c r="A463" s="4">
        <v>45707</v>
      </c>
      <c r="B463" t="s">
        <v>116</v>
      </c>
      <c r="C463" t="s">
        <v>114</v>
      </c>
      <c r="D463">
        <v>4330</v>
      </c>
      <c r="E463" t="s">
        <v>74</v>
      </c>
      <c r="F463" t="s">
        <v>553</v>
      </c>
      <c r="G463" t="s">
        <v>46</v>
      </c>
      <c r="H463" t="s">
        <v>55</v>
      </c>
      <c r="I463" t="s">
        <v>56</v>
      </c>
      <c r="J463" t="s">
        <v>65</v>
      </c>
      <c r="K463" t="s">
        <v>66</v>
      </c>
      <c r="L463">
        <v>2</v>
      </c>
      <c r="M463">
        <v>60</v>
      </c>
      <c r="N463" t="s">
        <v>93</v>
      </c>
      <c r="O463">
        <v>6</v>
      </c>
    </row>
    <row r="464" spans="1:15">
      <c r="A464" s="4">
        <v>45936</v>
      </c>
      <c r="B464" t="s">
        <v>51</v>
      </c>
      <c r="C464" t="s">
        <v>73</v>
      </c>
      <c r="D464">
        <v>1420</v>
      </c>
      <c r="E464" t="s">
        <v>62</v>
      </c>
      <c r="F464" t="s">
        <v>554</v>
      </c>
      <c r="G464" t="s">
        <v>45</v>
      </c>
      <c r="H464" t="s">
        <v>70</v>
      </c>
      <c r="I464" t="s">
        <v>79</v>
      </c>
      <c r="J464" t="s">
        <v>65</v>
      </c>
      <c r="K464" t="s">
        <v>76</v>
      </c>
      <c r="L464">
        <v>2</v>
      </c>
      <c r="M464">
        <v>90</v>
      </c>
      <c r="N464" t="s">
        <v>59</v>
      </c>
      <c r="O464">
        <v>13</v>
      </c>
    </row>
    <row r="465" spans="1:15">
      <c r="A465" s="4">
        <v>45807</v>
      </c>
      <c r="B465" t="s">
        <v>109</v>
      </c>
      <c r="C465" t="s">
        <v>86</v>
      </c>
      <c r="D465">
        <v>1160</v>
      </c>
      <c r="E465" t="s">
        <v>74</v>
      </c>
      <c r="F465" t="s">
        <v>555</v>
      </c>
      <c r="G465" t="s">
        <v>46</v>
      </c>
      <c r="H465" t="s">
        <v>70</v>
      </c>
      <c r="I465" t="s">
        <v>84</v>
      </c>
      <c r="J465" t="s">
        <v>65</v>
      </c>
      <c r="K465" t="s">
        <v>58</v>
      </c>
      <c r="L465">
        <v>5</v>
      </c>
      <c r="M465">
        <v>60</v>
      </c>
      <c r="N465" t="s">
        <v>71</v>
      </c>
      <c r="O465">
        <v>5</v>
      </c>
    </row>
    <row r="466" spans="1:15">
      <c r="A466" s="4">
        <v>45730</v>
      </c>
      <c r="B466" t="s">
        <v>67</v>
      </c>
      <c r="C466" t="s">
        <v>68</v>
      </c>
      <c r="D466">
        <v>4660</v>
      </c>
      <c r="E466" t="s">
        <v>62</v>
      </c>
      <c r="F466" t="s">
        <v>556</v>
      </c>
      <c r="G466" t="s">
        <v>46</v>
      </c>
      <c r="H466" t="s">
        <v>70</v>
      </c>
      <c r="I466" t="s">
        <v>56</v>
      </c>
      <c r="J466" t="s">
        <v>65</v>
      </c>
      <c r="K466" t="s">
        <v>76</v>
      </c>
      <c r="L466">
        <v>1</v>
      </c>
      <c r="M466">
        <v>60</v>
      </c>
      <c r="N466" t="s">
        <v>59</v>
      </c>
      <c r="O466">
        <v>16</v>
      </c>
    </row>
    <row r="467" spans="1:15">
      <c r="A467" s="4">
        <v>45882</v>
      </c>
      <c r="B467" t="s">
        <v>97</v>
      </c>
      <c r="C467" t="s">
        <v>68</v>
      </c>
      <c r="D467">
        <v>1800</v>
      </c>
      <c r="E467" t="s">
        <v>62</v>
      </c>
      <c r="F467" t="s">
        <v>557</v>
      </c>
      <c r="G467" t="s">
        <v>46</v>
      </c>
      <c r="H467" t="s">
        <v>55</v>
      </c>
      <c r="I467" t="s">
        <v>56</v>
      </c>
      <c r="J467" t="s">
        <v>65</v>
      </c>
      <c r="K467" t="s">
        <v>76</v>
      </c>
      <c r="L467">
        <v>2</v>
      </c>
      <c r="M467">
        <v>45</v>
      </c>
      <c r="N467" t="s">
        <v>71</v>
      </c>
      <c r="O467">
        <v>5</v>
      </c>
    </row>
    <row r="468" spans="1:15">
      <c r="A468" s="4">
        <v>45983</v>
      </c>
      <c r="B468" t="s">
        <v>109</v>
      </c>
      <c r="C468" t="s">
        <v>77</v>
      </c>
      <c r="D468">
        <v>3430</v>
      </c>
      <c r="E468" t="s">
        <v>62</v>
      </c>
      <c r="F468" t="s">
        <v>558</v>
      </c>
      <c r="G468" t="s">
        <v>46</v>
      </c>
      <c r="H468" t="s">
        <v>70</v>
      </c>
      <c r="I468" t="s">
        <v>84</v>
      </c>
      <c r="J468" t="s">
        <v>57</v>
      </c>
      <c r="K468" t="s">
        <v>76</v>
      </c>
      <c r="L468">
        <v>1</v>
      </c>
      <c r="M468">
        <v>60</v>
      </c>
      <c r="N468" t="s">
        <v>71</v>
      </c>
      <c r="O468">
        <v>10</v>
      </c>
    </row>
    <row r="469" spans="1:15">
      <c r="A469" s="4">
        <v>45808</v>
      </c>
      <c r="B469" t="s">
        <v>60</v>
      </c>
      <c r="C469" t="s">
        <v>52</v>
      </c>
      <c r="D469">
        <v>1950</v>
      </c>
      <c r="E469" t="s">
        <v>62</v>
      </c>
      <c r="F469" t="s">
        <v>559</v>
      </c>
      <c r="G469" t="s">
        <v>46</v>
      </c>
      <c r="H469" t="s">
        <v>70</v>
      </c>
      <c r="I469" t="s">
        <v>64</v>
      </c>
      <c r="J469" t="s">
        <v>57</v>
      </c>
      <c r="K469" t="s">
        <v>58</v>
      </c>
      <c r="L469">
        <v>1</v>
      </c>
      <c r="M469">
        <v>45</v>
      </c>
      <c r="N469" t="s">
        <v>71</v>
      </c>
      <c r="O469">
        <v>18</v>
      </c>
    </row>
    <row r="470" spans="1:15">
      <c r="A470" s="4">
        <v>45872</v>
      </c>
      <c r="B470" t="s">
        <v>85</v>
      </c>
      <c r="C470" t="s">
        <v>73</v>
      </c>
      <c r="D470">
        <v>3280</v>
      </c>
      <c r="E470" t="s">
        <v>74</v>
      </c>
      <c r="F470" t="s">
        <v>560</v>
      </c>
      <c r="G470" t="s">
        <v>45</v>
      </c>
      <c r="H470" t="s">
        <v>55</v>
      </c>
      <c r="I470" t="s">
        <v>64</v>
      </c>
      <c r="J470" t="s">
        <v>57</v>
      </c>
      <c r="K470" t="s">
        <v>76</v>
      </c>
      <c r="L470">
        <v>3</v>
      </c>
      <c r="M470">
        <v>45</v>
      </c>
      <c r="N470" t="s">
        <v>93</v>
      </c>
      <c r="O470">
        <v>10</v>
      </c>
    </row>
    <row r="471" spans="1:15">
      <c r="A471" s="4">
        <v>45937</v>
      </c>
      <c r="B471" t="s">
        <v>101</v>
      </c>
      <c r="C471" t="s">
        <v>81</v>
      </c>
      <c r="D471">
        <v>4900</v>
      </c>
      <c r="E471" t="s">
        <v>62</v>
      </c>
      <c r="F471" t="s">
        <v>561</v>
      </c>
      <c r="G471" t="s">
        <v>46</v>
      </c>
      <c r="H471" t="s">
        <v>70</v>
      </c>
      <c r="I471" t="s">
        <v>88</v>
      </c>
      <c r="J471" t="s">
        <v>65</v>
      </c>
      <c r="K471" t="s">
        <v>76</v>
      </c>
      <c r="L471">
        <v>3</v>
      </c>
      <c r="M471">
        <v>90</v>
      </c>
      <c r="N471" t="s">
        <v>59</v>
      </c>
      <c r="O471">
        <v>19</v>
      </c>
    </row>
    <row r="472" spans="1:15">
      <c r="A472" s="4">
        <v>45685</v>
      </c>
      <c r="B472" t="s">
        <v>90</v>
      </c>
      <c r="C472" t="s">
        <v>77</v>
      </c>
      <c r="D472">
        <v>1690</v>
      </c>
      <c r="E472" t="s">
        <v>62</v>
      </c>
      <c r="F472" t="s">
        <v>562</v>
      </c>
      <c r="G472" t="s">
        <v>46</v>
      </c>
      <c r="H472" t="s">
        <v>55</v>
      </c>
      <c r="I472" t="s">
        <v>56</v>
      </c>
      <c r="J472" t="s">
        <v>65</v>
      </c>
      <c r="K472" t="s">
        <v>66</v>
      </c>
      <c r="L472">
        <v>3</v>
      </c>
      <c r="M472">
        <v>60</v>
      </c>
      <c r="N472" t="s">
        <v>71</v>
      </c>
      <c r="O472">
        <v>8</v>
      </c>
    </row>
    <row r="473" spans="1:15">
      <c r="A473" s="4">
        <v>45710</v>
      </c>
      <c r="B473" t="s">
        <v>94</v>
      </c>
      <c r="C473" t="s">
        <v>77</v>
      </c>
      <c r="D473">
        <v>4520</v>
      </c>
      <c r="E473" t="s">
        <v>62</v>
      </c>
      <c r="F473" t="s">
        <v>563</v>
      </c>
      <c r="G473" t="s">
        <v>45</v>
      </c>
      <c r="H473" t="s">
        <v>70</v>
      </c>
      <c r="I473" t="s">
        <v>56</v>
      </c>
      <c r="J473" t="s">
        <v>57</v>
      </c>
      <c r="K473" t="s">
        <v>66</v>
      </c>
      <c r="L473">
        <v>3</v>
      </c>
      <c r="M473">
        <v>45</v>
      </c>
      <c r="N473" t="s">
        <v>93</v>
      </c>
      <c r="O473">
        <v>4</v>
      </c>
    </row>
    <row r="474" spans="1:15">
      <c r="A474" s="4">
        <v>45669</v>
      </c>
      <c r="B474" t="s">
        <v>90</v>
      </c>
      <c r="C474" t="s">
        <v>68</v>
      </c>
      <c r="D474">
        <v>4590</v>
      </c>
      <c r="E474" t="s">
        <v>53</v>
      </c>
      <c r="F474" t="s">
        <v>564</v>
      </c>
      <c r="G474" t="s">
        <v>45</v>
      </c>
      <c r="H474" t="s">
        <v>70</v>
      </c>
      <c r="I474" t="s">
        <v>79</v>
      </c>
      <c r="J474" t="s">
        <v>57</v>
      </c>
      <c r="K474" t="s">
        <v>66</v>
      </c>
      <c r="L474">
        <v>3</v>
      </c>
      <c r="M474">
        <v>60</v>
      </c>
      <c r="N474" t="s">
        <v>93</v>
      </c>
      <c r="O474">
        <v>10</v>
      </c>
    </row>
    <row r="475" spans="1:15">
      <c r="A475" s="4">
        <v>45991</v>
      </c>
      <c r="B475" t="s">
        <v>109</v>
      </c>
      <c r="C475" t="s">
        <v>81</v>
      </c>
      <c r="D475">
        <v>1180</v>
      </c>
      <c r="E475" t="s">
        <v>62</v>
      </c>
      <c r="F475" t="s">
        <v>565</v>
      </c>
      <c r="G475" t="s">
        <v>45</v>
      </c>
      <c r="H475" t="s">
        <v>55</v>
      </c>
      <c r="I475" t="s">
        <v>64</v>
      </c>
      <c r="J475" t="s">
        <v>57</v>
      </c>
      <c r="K475" t="s">
        <v>76</v>
      </c>
      <c r="L475">
        <v>1</v>
      </c>
      <c r="M475">
        <v>90</v>
      </c>
      <c r="N475" t="s">
        <v>71</v>
      </c>
      <c r="O475">
        <v>10</v>
      </c>
    </row>
    <row r="476" spans="1:15">
      <c r="A476" s="4">
        <v>45890</v>
      </c>
      <c r="B476" t="s">
        <v>80</v>
      </c>
      <c r="C476" t="s">
        <v>68</v>
      </c>
      <c r="D476">
        <v>4420</v>
      </c>
      <c r="E476" t="s">
        <v>53</v>
      </c>
      <c r="F476" t="s">
        <v>566</v>
      </c>
      <c r="G476" t="s">
        <v>45</v>
      </c>
      <c r="H476" t="s">
        <v>55</v>
      </c>
      <c r="I476" t="s">
        <v>56</v>
      </c>
      <c r="J476" t="s">
        <v>57</v>
      </c>
      <c r="K476" t="s">
        <v>66</v>
      </c>
      <c r="L476">
        <v>3</v>
      </c>
      <c r="M476">
        <v>30</v>
      </c>
      <c r="N476" t="s">
        <v>71</v>
      </c>
      <c r="O476">
        <v>5</v>
      </c>
    </row>
    <row r="477" spans="1:15">
      <c r="A477" s="4">
        <v>45806</v>
      </c>
      <c r="B477" t="s">
        <v>101</v>
      </c>
      <c r="C477" t="s">
        <v>95</v>
      </c>
      <c r="D477">
        <v>1500</v>
      </c>
      <c r="E477" t="s">
        <v>62</v>
      </c>
      <c r="F477" t="s">
        <v>567</v>
      </c>
      <c r="G477" t="s">
        <v>46</v>
      </c>
      <c r="H477" t="s">
        <v>55</v>
      </c>
      <c r="I477" t="s">
        <v>56</v>
      </c>
      <c r="J477" t="s">
        <v>65</v>
      </c>
      <c r="K477" t="s">
        <v>66</v>
      </c>
      <c r="L477">
        <v>4</v>
      </c>
      <c r="M477">
        <v>60</v>
      </c>
      <c r="N477" t="s">
        <v>71</v>
      </c>
      <c r="O477">
        <v>12</v>
      </c>
    </row>
    <row r="478" spans="1:15">
      <c r="A478" s="4">
        <v>45861</v>
      </c>
      <c r="B478" t="s">
        <v>109</v>
      </c>
      <c r="C478" t="s">
        <v>68</v>
      </c>
      <c r="D478">
        <v>1800</v>
      </c>
      <c r="E478" t="s">
        <v>74</v>
      </c>
      <c r="F478" t="s">
        <v>568</v>
      </c>
      <c r="G478" t="s">
        <v>45</v>
      </c>
      <c r="H478" t="s">
        <v>70</v>
      </c>
      <c r="I478" t="s">
        <v>84</v>
      </c>
      <c r="J478" t="s">
        <v>57</v>
      </c>
      <c r="K478" t="s">
        <v>66</v>
      </c>
      <c r="L478">
        <v>3</v>
      </c>
      <c r="M478">
        <v>30</v>
      </c>
      <c r="N478" t="s">
        <v>71</v>
      </c>
      <c r="O478">
        <v>9</v>
      </c>
    </row>
    <row r="479" spans="1:15">
      <c r="A479" s="4">
        <v>45859</v>
      </c>
      <c r="B479" t="s">
        <v>109</v>
      </c>
      <c r="C479" t="s">
        <v>61</v>
      </c>
      <c r="D479">
        <v>1770</v>
      </c>
      <c r="E479" t="s">
        <v>62</v>
      </c>
      <c r="F479" t="s">
        <v>569</v>
      </c>
      <c r="G479" t="s">
        <v>46</v>
      </c>
      <c r="H479" t="s">
        <v>70</v>
      </c>
      <c r="I479" t="s">
        <v>64</v>
      </c>
      <c r="J479" t="s">
        <v>57</v>
      </c>
      <c r="K479" t="s">
        <v>58</v>
      </c>
      <c r="L479">
        <v>4</v>
      </c>
      <c r="M479">
        <v>90</v>
      </c>
      <c r="N479" t="s">
        <v>59</v>
      </c>
      <c r="O479">
        <v>16</v>
      </c>
    </row>
    <row r="480" spans="1:15">
      <c r="A480" s="4">
        <v>45806</v>
      </c>
      <c r="B480" t="s">
        <v>72</v>
      </c>
      <c r="C480" t="s">
        <v>114</v>
      </c>
      <c r="D480">
        <v>3390</v>
      </c>
      <c r="E480" t="s">
        <v>53</v>
      </c>
      <c r="F480" t="s">
        <v>570</v>
      </c>
      <c r="G480" t="s">
        <v>45</v>
      </c>
      <c r="H480" t="s">
        <v>55</v>
      </c>
      <c r="I480" t="s">
        <v>88</v>
      </c>
      <c r="J480" t="s">
        <v>57</v>
      </c>
      <c r="K480" t="s">
        <v>66</v>
      </c>
      <c r="L480">
        <v>3</v>
      </c>
      <c r="M480">
        <v>30</v>
      </c>
      <c r="N480" t="s">
        <v>93</v>
      </c>
      <c r="O480">
        <v>5</v>
      </c>
    </row>
    <row r="481" spans="1:15">
      <c r="A481" s="4">
        <v>46010</v>
      </c>
      <c r="B481" t="s">
        <v>109</v>
      </c>
      <c r="C481" t="s">
        <v>95</v>
      </c>
      <c r="D481">
        <v>670</v>
      </c>
      <c r="E481" t="s">
        <v>53</v>
      </c>
      <c r="F481" t="s">
        <v>571</v>
      </c>
      <c r="G481" t="s">
        <v>45</v>
      </c>
      <c r="H481" t="s">
        <v>70</v>
      </c>
      <c r="I481" t="s">
        <v>56</v>
      </c>
      <c r="J481" t="s">
        <v>57</v>
      </c>
      <c r="K481" t="s">
        <v>58</v>
      </c>
      <c r="L481">
        <v>1</v>
      </c>
      <c r="M481">
        <v>60</v>
      </c>
      <c r="N481" t="s">
        <v>93</v>
      </c>
      <c r="O481">
        <v>10</v>
      </c>
    </row>
    <row r="482" spans="1:15">
      <c r="A482" s="4">
        <v>45802</v>
      </c>
      <c r="B482" t="s">
        <v>80</v>
      </c>
      <c r="C482" t="s">
        <v>61</v>
      </c>
      <c r="D482">
        <v>2250</v>
      </c>
      <c r="E482" t="s">
        <v>62</v>
      </c>
      <c r="F482" t="s">
        <v>572</v>
      </c>
      <c r="G482" t="s">
        <v>45</v>
      </c>
      <c r="H482" t="s">
        <v>70</v>
      </c>
      <c r="I482" t="s">
        <v>79</v>
      </c>
      <c r="J482" t="s">
        <v>65</v>
      </c>
      <c r="K482" t="s">
        <v>66</v>
      </c>
      <c r="L482">
        <v>3</v>
      </c>
      <c r="M482">
        <v>60</v>
      </c>
      <c r="N482" t="s">
        <v>71</v>
      </c>
      <c r="O482">
        <v>17</v>
      </c>
    </row>
    <row r="483" spans="1:15">
      <c r="A483" s="4">
        <v>45719</v>
      </c>
      <c r="B483" t="s">
        <v>90</v>
      </c>
      <c r="C483" t="s">
        <v>86</v>
      </c>
      <c r="D483">
        <v>3230</v>
      </c>
      <c r="E483" t="s">
        <v>62</v>
      </c>
      <c r="F483" t="s">
        <v>573</v>
      </c>
      <c r="G483" t="s">
        <v>46</v>
      </c>
      <c r="H483" t="s">
        <v>55</v>
      </c>
      <c r="I483" t="s">
        <v>56</v>
      </c>
      <c r="J483" t="s">
        <v>57</v>
      </c>
      <c r="K483" t="s">
        <v>76</v>
      </c>
      <c r="L483">
        <v>1</v>
      </c>
      <c r="M483">
        <v>45</v>
      </c>
      <c r="N483" t="s">
        <v>59</v>
      </c>
      <c r="O483">
        <v>12</v>
      </c>
    </row>
    <row r="484" spans="1:15">
      <c r="A484" s="4">
        <v>45912</v>
      </c>
      <c r="B484" t="s">
        <v>101</v>
      </c>
      <c r="C484" t="s">
        <v>114</v>
      </c>
      <c r="D484">
        <v>4130</v>
      </c>
      <c r="E484" t="s">
        <v>62</v>
      </c>
      <c r="F484" t="s">
        <v>574</v>
      </c>
      <c r="G484" t="s">
        <v>46</v>
      </c>
      <c r="H484" t="s">
        <v>70</v>
      </c>
      <c r="I484" t="s">
        <v>79</v>
      </c>
      <c r="J484" t="s">
        <v>57</v>
      </c>
      <c r="K484" t="s">
        <v>66</v>
      </c>
      <c r="L484">
        <v>1</v>
      </c>
      <c r="M484">
        <v>30</v>
      </c>
      <c r="N484" t="s">
        <v>93</v>
      </c>
      <c r="O484">
        <v>3</v>
      </c>
    </row>
    <row r="485" spans="1:15">
      <c r="A485" s="4">
        <v>45781</v>
      </c>
      <c r="B485" t="s">
        <v>60</v>
      </c>
      <c r="C485" t="s">
        <v>73</v>
      </c>
      <c r="D485">
        <v>200</v>
      </c>
      <c r="E485" t="s">
        <v>62</v>
      </c>
      <c r="F485" t="s">
        <v>575</v>
      </c>
      <c r="G485" t="s">
        <v>46</v>
      </c>
      <c r="H485" t="s">
        <v>70</v>
      </c>
      <c r="I485" t="s">
        <v>88</v>
      </c>
      <c r="J485" t="s">
        <v>57</v>
      </c>
      <c r="K485" t="s">
        <v>66</v>
      </c>
      <c r="L485">
        <v>4</v>
      </c>
      <c r="M485">
        <v>45</v>
      </c>
      <c r="N485" t="s">
        <v>93</v>
      </c>
      <c r="O485">
        <v>20</v>
      </c>
    </row>
    <row r="486" spans="1:15">
      <c r="A486" s="4">
        <v>45815</v>
      </c>
      <c r="B486" t="s">
        <v>85</v>
      </c>
      <c r="C486" t="s">
        <v>52</v>
      </c>
      <c r="D486">
        <v>770</v>
      </c>
      <c r="E486" t="s">
        <v>74</v>
      </c>
      <c r="F486" t="s">
        <v>576</v>
      </c>
      <c r="G486" t="s">
        <v>46</v>
      </c>
      <c r="H486" t="s">
        <v>55</v>
      </c>
      <c r="I486" t="s">
        <v>84</v>
      </c>
      <c r="J486" t="s">
        <v>57</v>
      </c>
      <c r="K486" t="s">
        <v>66</v>
      </c>
      <c r="L486">
        <v>3</v>
      </c>
      <c r="M486">
        <v>60</v>
      </c>
      <c r="N486" t="s">
        <v>93</v>
      </c>
      <c r="O486">
        <v>18</v>
      </c>
    </row>
    <row r="487" spans="1:15">
      <c r="A487" s="4">
        <v>45700</v>
      </c>
      <c r="B487" t="s">
        <v>67</v>
      </c>
      <c r="C487" t="s">
        <v>68</v>
      </c>
      <c r="D487">
        <v>2100</v>
      </c>
      <c r="E487" t="s">
        <v>62</v>
      </c>
      <c r="F487" t="s">
        <v>577</v>
      </c>
      <c r="G487" t="s">
        <v>46</v>
      </c>
      <c r="H487" t="s">
        <v>70</v>
      </c>
      <c r="I487" t="s">
        <v>84</v>
      </c>
      <c r="J487" t="s">
        <v>65</v>
      </c>
      <c r="K487" t="s">
        <v>76</v>
      </c>
      <c r="L487">
        <v>3</v>
      </c>
      <c r="M487">
        <v>45</v>
      </c>
      <c r="N487" t="s">
        <v>93</v>
      </c>
      <c r="O487">
        <v>18</v>
      </c>
    </row>
    <row r="488" spans="1:15">
      <c r="A488" s="4">
        <v>45962</v>
      </c>
      <c r="B488" t="s">
        <v>72</v>
      </c>
      <c r="C488" t="s">
        <v>52</v>
      </c>
      <c r="D488">
        <v>2740</v>
      </c>
      <c r="E488" t="s">
        <v>74</v>
      </c>
      <c r="F488" t="s">
        <v>578</v>
      </c>
      <c r="G488" t="s">
        <v>45</v>
      </c>
      <c r="H488" t="s">
        <v>70</v>
      </c>
      <c r="I488" t="s">
        <v>92</v>
      </c>
      <c r="J488" t="s">
        <v>57</v>
      </c>
      <c r="K488" t="s">
        <v>66</v>
      </c>
      <c r="L488">
        <v>2</v>
      </c>
      <c r="M488">
        <v>90</v>
      </c>
      <c r="N488" t="s">
        <v>59</v>
      </c>
      <c r="O488">
        <v>4</v>
      </c>
    </row>
    <row r="489" spans="1:15">
      <c r="A489" s="4">
        <v>45830</v>
      </c>
      <c r="B489" t="s">
        <v>90</v>
      </c>
      <c r="C489" t="s">
        <v>77</v>
      </c>
      <c r="D489">
        <v>2340</v>
      </c>
      <c r="E489" t="s">
        <v>62</v>
      </c>
      <c r="F489" t="s">
        <v>579</v>
      </c>
      <c r="G489" t="s">
        <v>45</v>
      </c>
      <c r="H489" t="s">
        <v>55</v>
      </c>
      <c r="I489" t="s">
        <v>64</v>
      </c>
      <c r="J489" t="s">
        <v>65</v>
      </c>
      <c r="K489" t="s">
        <v>76</v>
      </c>
      <c r="L489">
        <v>1</v>
      </c>
      <c r="M489">
        <v>45</v>
      </c>
      <c r="N489" t="s">
        <v>93</v>
      </c>
      <c r="O489">
        <v>5</v>
      </c>
    </row>
    <row r="490" spans="1:15">
      <c r="A490" s="4">
        <v>45750</v>
      </c>
      <c r="B490" t="s">
        <v>101</v>
      </c>
      <c r="C490" t="s">
        <v>114</v>
      </c>
      <c r="D490">
        <v>4530</v>
      </c>
      <c r="E490" t="s">
        <v>62</v>
      </c>
      <c r="F490" t="s">
        <v>580</v>
      </c>
      <c r="G490" t="s">
        <v>45</v>
      </c>
      <c r="H490" t="s">
        <v>55</v>
      </c>
      <c r="I490" t="s">
        <v>92</v>
      </c>
      <c r="J490" t="s">
        <v>57</v>
      </c>
      <c r="K490" t="s">
        <v>76</v>
      </c>
      <c r="L490">
        <v>3</v>
      </c>
      <c r="M490">
        <v>60</v>
      </c>
      <c r="N490" t="s">
        <v>59</v>
      </c>
      <c r="O490">
        <v>17</v>
      </c>
    </row>
    <row r="491" spans="1:15">
      <c r="A491" s="4">
        <v>46019</v>
      </c>
      <c r="B491" t="s">
        <v>85</v>
      </c>
      <c r="C491" t="s">
        <v>68</v>
      </c>
      <c r="D491">
        <v>1360</v>
      </c>
      <c r="E491" t="s">
        <v>62</v>
      </c>
      <c r="F491" t="s">
        <v>581</v>
      </c>
      <c r="G491" t="s">
        <v>46</v>
      </c>
      <c r="H491" t="s">
        <v>70</v>
      </c>
      <c r="I491" t="s">
        <v>84</v>
      </c>
      <c r="J491" t="s">
        <v>57</v>
      </c>
      <c r="K491" t="s">
        <v>58</v>
      </c>
      <c r="L491">
        <v>3</v>
      </c>
      <c r="M491">
        <v>90</v>
      </c>
      <c r="N491" t="s">
        <v>59</v>
      </c>
      <c r="O491">
        <v>18</v>
      </c>
    </row>
    <row r="492" spans="1:15">
      <c r="A492" s="4">
        <v>45795</v>
      </c>
      <c r="B492" t="s">
        <v>94</v>
      </c>
      <c r="C492" t="s">
        <v>73</v>
      </c>
      <c r="D492">
        <v>2400</v>
      </c>
      <c r="E492" t="s">
        <v>74</v>
      </c>
      <c r="F492" t="s">
        <v>582</v>
      </c>
      <c r="G492" t="s">
        <v>46</v>
      </c>
      <c r="H492" t="s">
        <v>70</v>
      </c>
      <c r="I492" t="s">
        <v>92</v>
      </c>
      <c r="J492" t="s">
        <v>57</v>
      </c>
      <c r="K492" t="s">
        <v>76</v>
      </c>
      <c r="L492">
        <v>3</v>
      </c>
      <c r="M492">
        <v>30</v>
      </c>
      <c r="N492" t="s">
        <v>93</v>
      </c>
      <c r="O492">
        <v>12</v>
      </c>
    </row>
    <row r="493" spans="1:15">
      <c r="A493" s="4">
        <v>45928</v>
      </c>
      <c r="B493" t="s">
        <v>85</v>
      </c>
      <c r="C493" t="s">
        <v>114</v>
      </c>
      <c r="D493">
        <v>4150</v>
      </c>
      <c r="E493" t="s">
        <v>53</v>
      </c>
      <c r="F493" t="s">
        <v>583</v>
      </c>
      <c r="G493" t="s">
        <v>46</v>
      </c>
      <c r="H493" t="s">
        <v>70</v>
      </c>
      <c r="I493" t="s">
        <v>92</v>
      </c>
      <c r="J493" t="s">
        <v>65</v>
      </c>
      <c r="K493" t="s">
        <v>76</v>
      </c>
      <c r="L493">
        <v>3</v>
      </c>
      <c r="M493">
        <v>60</v>
      </c>
      <c r="N493" t="s">
        <v>59</v>
      </c>
      <c r="O493">
        <v>14</v>
      </c>
    </row>
    <row r="494" spans="1:15">
      <c r="A494" s="4">
        <v>45924</v>
      </c>
      <c r="B494" t="s">
        <v>94</v>
      </c>
      <c r="C494" t="s">
        <v>61</v>
      </c>
      <c r="D494">
        <v>2070</v>
      </c>
      <c r="E494" t="s">
        <v>62</v>
      </c>
      <c r="F494" t="s">
        <v>584</v>
      </c>
      <c r="G494" t="s">
        <v>46</v>
      </c>
      <c r="H494" t="s">
        <v>55</v>
      </c>
      <c r="I494" t="s">
        <v>56</v>
      </c>
      <c r="J494" t="s">
        <v>65</v>
      </c>
      <c r="K494" t="s">
        <v>76</v>
      </c>
      <c r="L494">
        <v>3</v>
      </c>
      <c r="M494">
        <v>90</v>
      </c>
      <c r="N494" t="s">
        <v>71</v>
      </c>
      <c r="O494">
        <v>14</v>
      </c>
    </row>
    <row r="495" spans="1:15">
      <c r="A495" s="4">
        <v>45679</v>
      </c>
      <c r="B495" t="s">
        <v>109</v>
      </c>
      <c r="C495" t="s">
        <v>68</v>
      </c>
      <c r="D495">
        <v>2880</v>
      </c>
      <c r="E495" t="s">
        <v>74</v>
      </c>
      <c r="F495" t="s">
        <v>585</v>
      </c>
      <c r="G495" t="s">
        <v>45</v>
      </c>
      <c r="H495" t="s">
        <v>70</v>
      </c>
      <c r="I495" t="s">
        <v>56</v>
      </c>
      <c r="J495" t="s">
        <v>57</v>
      </c>
      <c r="K495" t="s">
        <v>58</v>
      </c>
      <c r="L495">
        <v>3</v>
      </c>
      <c r="M495">
        <v>30</v>
      </c>
      <c r="N495" t="s">
        <v>59</v>
      </c>
      <c r="O495">
        <v>18</v>
      </c>
    </row>
    <row r="496" spans="1:15">
      <c r="A496" s="4">
        <v>46022</v>
      </c>
      <c r="B496" t="s">
        <v>97</v>
      </c>
      <c r="C496" t="s">
        <v>73</v>
      </c>
      <c r="D496">
        <v>2890</v>
      </c>
      <c r="E496" t="s">
        <v>74</v>
      </c>
      <c r="F496" t="s">
        <v>586</v>
      </c>
      <c r="G496" t="s">
        <v>46</v>
      </c>
      <c r="H496" t="s">
        <v>70</v>
      </c>
      <c r="I496" t="s">
        <v>64</v>
      </c>
      <c r="J496" t="s">
        <v>65</v>
      </c>
      <c r="K496" t="s">
        <v>66</v>
      </c>
      <c r="L496">
        <v>4</v>
      </c>
      <c r="M496">
        <v>60</v>
      </c>
      <c r="N496" t="s">
        <v>93</v>
      </c>
      <c r="O496">
        <v>4</v>
      </c>
    </row>
    <row r="497" spans="1:15">
      <c r="A497" s="4">
        <v>45658</v>
      </c>
      <c r="B497" t="s">
        <v>72</v>
      </c>
      <c r="C497" t="s">
        <v>52</v>
      </c>
      <c r="D497">
        <v>3470</v>
      </c>
      <c r="E497" t="s">
        <v>53</v>
      </c>
      <c r="F497" t="s">
        <v>587</v>
      </c>
      <c r="G497" t="s">
        <v>45</v>
      </c>
      <c r="H497" t="s">
        <v>70</v>
      </c>
      <c r="I497" t="s">
        <v>84</v>
      </c>
      <c r="J497" t="s">
        <v>65</v>
      </c>
      <c r="K497" t="s">
        <v>66</v>
      </c>
      <c r="L497">
        <v>1</v>
      </c>
      <c r="M497">
        <v>45</v>
      </c>
      <c r="N497" t="s">
        <v>59</v>
      </c>
      <c r="O497">
        <v>19</v>
      </c>
    </row>
    <row r="498" spans="1:15">
      <c r="A498" s="4">
        <v>45884</v>
      </c>
      <c r="B498" t="s">
        <v>97</v>
      </c>
      <c r="C498" t="s">
        <v>77</v>
      </c>
      <c r="D498">
        <v>1520</v>
      </c>
      <c r="E498" t="s">
        <v>74</v>
      </c>
      <c r="F498" t="s">
        <v>588</v>
      </c>
      <c r="G498" t="s">
        <v>46</v>
      </c>
      <c r="H498" t="s">
        <v>70</v>
      </c>
      <c r="I498" t="s">
        <v>88</v>
      </c>
      <c r="J498" t="s">
        <v>65</v>
      </c>
      <c r="K498" t="s">
        <v>76</v>
      </c>
      <c r="L498">
        <v>1</v>
      </c>
      <c r="M498">
        <v>90</v>
      </c>
      <c r="N498" t="s">
        <v>59</v>
      </c>
      <c r="O498">
        <v>7</v>
      </c>
    </row>
    <row r="499" spans="1:15">
      <c r="A499" s="4">
        <v>45740</v>
      </c>
      <c r="B499" t="s">
        <v>116</v>
      </c>
      <c r="C499" t="s">
        <v>86</v>
      </c>
      <c r="D499">
        <v>3110</v>
      </c>
      <c r="E499" t="s">
        <v>74</v>
      </c>
      <c r="F499" t="s">
        <v>589</v>
      </c>
      <c r="G499" t="s">
        <v>46</v>
      </c>
      <c r="H499" t="s">
        <v>55</v>
      </c>
      <c r="I499" t="s">
        <v>79</v>
      </c>
      <c r="J499" t="s">
        <v>65</v>
      </c>
      <c r="K499" t="s">
        <v>66</v>
      </c>
      <c r="L499">
        <v>2</v>
      </c>
      <c r="M499">
        <v>45</v>
      </c>
      <c r="N499" t="s">
        <v>93</v>
      </c>
      <c r="O499">
        <v>4</v>
      </c>
    </row>
    <row r="500" spans="1:15">
      <c r="A500" s="4">
        <v>45722</v>
      </c>
      <c r="B500" t="s">
        <v>67</v>
      </c>
      <c r="C500" t="s">
        <v>77</v>
      </c>
      <c r="D500">
        <v>2880</v>
      </c>
      <c r="E500" t="s">
        <v>62</v>
      </c>
      <c r="F500" t="s">
        <v>590</v>
      </c>
      <c r="G500" t="s">
        <v>45</v>
      </c>
      <c r="H500" t="s">
        <v>70</v>
      </c>
      <c r="I500" t="s">
        <v>79</v>
      </c>
      <c r="J500" t="s">
        <v>57</v>
      </c>
      <c r="K500" t="s">
        <v>58</v>
      </c>
      <c r="L500">
        <v>3</v>
      </c>
      <c r="M500">
        <v>45</v>
      </c>
      <c r="N500" t="s">
        <v>59</v>
      </c>
      <c r="O500">
        <v>19</v>
      </c>
    </row>
    <row r="501" spans="1:15">
      <c r="A501" s="4">
        <v>45701</v>
      </c>
      <c r="B501" t="s">
        <v>101</v>
      </c>
      <c r="C501" t="s">
        <v>68</v>
      </c>
      <c r="D501">
        <v>700</v>
      </c>
      <c r="E501" t="s">
        <v>62</v>
      </c>
      <c r="F501" t="s">
        <v>591</v>
      </c>
      <c r="G501" t="s">
        <v>46</v>
      </c>
      <c r="H501" t="s">
        <v>55</v>
      </c>
      <c r="I501" t="s">
        <v>56</v>
      </c>
      <c r="J501" t="s">
        <v>57</v>
      </c>
      <c r="K501" t="s">
        <v>66</v>
      </c>
      <c r="L501">
        <v>3</v>
      </c>
      <c r="M501">
        <v>30</v>
      </c>
      <c r="N501" t="s">
        <v>93</v>
      </c>
      <c r="O501">
        <v>17</v>
      </c>
    </row>
    <row r="502" spans="1:15">
      <c r="A502" s="4">
        <v>45982</v>
      </c>
      <c r="B502" t="s">
        <v>80</v>
      </c>
      <c r="C502" t="s">
        <v>81</v>
      </c>
      <c r="D502">
        <v>3400</v>
      </c>
      <c r="E502" t="s">
        <v>62</v>
      </c>
      <c r="F502" t="s">
        <v>592</v>
      </c>
      <c r="G502" t="s">
        <v>46</v>
      </c>
      <c r="H502" t="s">
        <v>70</v>
      </c>
      <c r="I502" t="s">
        <v>92</v>
      </c>
      <c r="J502" t="s">
        <v>57</v>
      </c>
      <c r="K502" t="s">
        <v>76</v>
      </c>
      <c r="L502">
        <v>3</v>
      </c>
      <c r="M502">
        <v>45</v>
      </c>
      <c r="N502" t="s">
        <v>59</v>
      </c>
      <c r="O502">
        <v>17</v>
      </c>
    </row>
    <row r="503" spans="1:15">
      <c r="A503" s="4">
        <v>45663</v>
      </c>
      <c r="B503" t="s">
        <v>116</v>
      </c>
      <c r="C503" t="s">
        <v>114</v>
      </c>
      <c r="D503">
        <v>2010</v>
      </c>
      <c r="E503" t="s">
        <v>74</v>
      </c>
      <c r="F503" t="s">
        <v>593</v>
      </c>
      <c r="G503" t="s">
        <v>45</v>
      </c>
      <c r="H503" t="s">
        <v>70</v>
      </c>
      <c r="I503" t="s">
        <v>79</v>
      </c>
      <c r="J503" t="s">
        <v>65</v>
      </c>
      <c r="K503" t="s">
        <v>76</v>
      </c>
      <c r="L503">
        <v>4</v>
      </c>
      <c r="M503">
        <v>60</v>
      </c>
      <c r="N503" t="s">
        <v>71</v>
      </c>
      <c r="O503">
        <v>19</v>
      </c>
    </row>
    <row r="504" spans="1:15">
      <c r="A504" s="4">
        <v>45880</v>
      </c>
      <c r="B504" t="s">
        <v>109</v>
      </c>
      <c r="C504" t="s">
        <v>95</v>
      </c>
      <c r="D504">
        <v>780</v>
      </c>
      <c r="E504" t="s">
        <v>74</v>
      </c>
      <c r="F504" t="s">
        <v>594</v>
      </c>
      <c r="G504" t="s">
        <v>46</v>
      </c>
      <c r="H504" t="s">
        <v>55</v>
      </c>
      <c r="I504" t="s">
        <v>64</v>
      </c>
      <c r="J504" t="s">
        <v>65</v>
      </c>
      <c r="K504" t="s">
        <v>66</v>
      </c>
      <c r="L504">
        <v>2</v>
      </c>
      <c r="M504">
        <v>60</v>
      </c>
      <c r="N504" t="s">
        <v>71</v>
      </c>
      <c r="O504">
        <v>14</v>
      </c>
    </row>
    <row r="505" spans="1:15">
      <c r="A505" s="4">
        <v>45786</v>
      </c>
      <c r="B505" t="s">
        <v>72</v>
      </c>
      <c r="C505" t="s">
        <v>52</v>
      </c>
      <c r="D505">
        <v>1190</v>
      </c>
      <c r="E505" t="s">
        <v>62</v>
      </c>
      <c r="F505" t="s">
        <v>595</v>
      </c>
      <c r="G505" t="s">
        <v>46</v>
      </c>
      <c r="H505" t="s">
        <v>55</v>
      </c>
      <c r="I505" t="s">
        <v>92</v>
      </c>
      <c r="J505" t="s">
        <v>57</v>
      </c>
      <c r="K505" t="s">
        <v>58</v>
      </c>
      <c r="L505">
        <v>2</v>
      </c>
      <c r="M505">
        <v>90</v>
      </c>
      <c r="N505" t="s">
        <v>93</v>
      </c>
      <c r="O505">
        <v>4</v>
      </c>
    </row>
    <row r="506" spans="1:15">
      <c r="A506" s="4">
        <v>45862</v>
      </c>
      <c r="B506" t="s">
        <v>67</v>
      </c>
      <c r="C506" t="s">
        <v>52</v>
      </c>
      <c r="D506">
        <v>3460</v>
      </c>
      <c r="E506" t="s">
        <v>74</v>
      </c>
      <c r="F506" t="s">
        <v>596</v>
      </c>
      <c r="G506" t="s">
        <v>45</v>
      </c>
      <c r="H506" t="s">
        <v>55</v>
      </c>
      <c r="I506" t="s">
        <v>79</v>
      </c>
      <c r="J506" t="s">
        <v>65</v>
      </c>
      <c r="K506" t="s">
        <v>76</v>
      </c>
      <c r="L506">
        <v>4</v>
      </c>
      <c r="M506">
        <v>30</v>
      </c>
      <c r="N506" t="s">
        <v>93</v>
      </c>
      <c r="O506">
        <v>6</v>
      </c>
    </row>
    <row r="507" spans="1:15">
      <c r="A507" s="4">
        <v>45791</v>
      </c>
      <c r="B507" t="s">
        <v>94</v>
      </c>
      <c r="C507" t="s">
        <v>68</v>
      </c>
      <c r="D507">
        <v>2500</v>
      </c>
      <c r="E507" t="s">
        <v>74</v>
      </c>
      <c r="F507" t="s">
        <v>597</v>
      </c>
      <c r="G507" t="s">
        <v>46</v>
      </c>
      <c r="H507" t="s">
        <v>55</v>
      </c>
      <c r="I507" t="s">
        <v>88</v>
      </c>
      <c r="J507" t="s">
        <v>57</v>
      </c>
      <c r="K507" t="s">
        <v>58</v>
      </c>
      <c r="L507">
        <v>4</v>
      </c>
      <c r="M507">
        <v>45</v>
      </c>
      <c r="N507" t="s">
        <v>71</v>
      </c>
      <c r="O507">
        <v>16</v>
      </c>
    </row>
    <row r="508" spans="1:15">
      <c r="A508" s="4">
        <v>45934</v>
      </c>
      <c r="B508" t="s">
        <v>85</v>
      </c>
      <c r="C508" t="s">
        <v>86</v>
      </c>
      <c r="D508">
        <v>4270</v>
      </c>
      <c r="E508" t="s">
        <v>62</v>
      </c>
      <c r="F508" t="s">
        <v>598</v>
      </c>
      <c r="G508" t="s">
        <v>45</v>
      </c>
      <c r="H508" t="s">
        <v>55</v>
      </c>
      <c r="I508" t="s">
        <v>79</v>
      </c>
      <c r="J508" t="s">
        <v>65</v>
      </c>
      <c r="K508" t="s">
        <v>76</v>
      </c>
      <c r="L508">
        <v>3</v>
      </c>
      <c r="M508">
        <v>60</v>
      </c>
      <c r="N508" t="s">
        <v>59</v>
      </c>
      <c r="O508">
        <v>9</v>
      </c>
    </row>
    <row r="509" spans="1:15">
      <c r="A509" s="4">
        <v>45753</v>
      </c>
      <c r="B509" t="s">
        <v>101</v>
      </c>
      <c r="C509" t="s">
        <v>61</v>
      </c>
      <c r="D509">
        <v>3230</v>
      </c>
      <c r="E509" t="s">
        <v>74</v>
      </c>
      <c r="F509" t="s">
        <v>599</v>
      </c>
      <c r="G509" t="s">
        <v>46</v>
      </c>
      <c r="H509" t="s">
        <v>55</v>
      </c>
      <c r="I509" t="s">
        <v>92</v>
      </c>
      <c r="J509" t="s">
        <v>57</v>
      </c>
      <c r="K509" t="s">
        <v>58</v>
      </c>
      <c r="L509">
        <v>2</v>
      </c>
      <c r="M509">
        <v>90</v>
      </c>
      <c r="N509" t="s">
        <v>93</v>
      </c>
      <c r="O509">
        <v>8</v>
      </c>
    </row>
    <row r="510" spans="1:15">
      <c r="A510" s="4">
        <v>45942</v>
      </c>
      <c r="B510" t="s">
        <v>72</v>
      </c>
      <c r="C510" t="s">
        <v>61</v>
      </c>
      <c r="D510">
        <v>170</v>
      </c>
      <c r="E510" t="s">
        <v>53</v>
      </c>
      <c r="F510" t="s">
        <v>600</v>
      </c>
      <c r="G510" t="s">
        <v>46</v>
      </c>
      <c r="H510" t="s">
        <v>55</v>
      </c>
      <c r="I510" t="s">
        <v>88</v>
      </c>
      <c r="J510" t="s">
        <v>65</v>
      </c>
      <c r="K510" t="s">
        <v>58</v>
      </c>
      <c r="L510">
        <v>3</v>
      </c>
      <c r="M510">
        <v>60</v>
      </c>
      <c r="N510" t="s">
        <v>59</v>
      </c>
      <c r="O510">
        <v>7</v>
      </c>
    </row>
    <row r="511" spans="1:15">
      <c r="A511" s="4">
        <v>45770</v>
      </c>
      <c r="B511" t="s">
        <v>72</v>
      </c>
      <c r="C511" t="s">
        <v>98</v>
      </c>
      <c r="D511">
        <v>4990</v>
      </c>
      <c r="E511" t="s">
        <v>53</v>
      </c>
      <c r="F511" t="s">
        <v>601</v>
      </c>
      <c r="G511" t="s">
        <v>46</v>
      </c>
      <c r="H511" t="s">
        <v>55</v>
      </c>
      <c r="I511" t="s">
        <v>84</v>
      </c>
      <c r="J511" t="s">
        <v>65</v>
      </c>
      <c r="K511" t="s">
        <v>76</v>
      </c>
      <c r="L511">
        <v>3</v>
      </c>
      <c r="M511">
        <v>30</v>
      </c>
      <c r="N511" t="s">
        <v>59</v>
      </c>
      <c r="O511">
        <v>14</v>
      </c>
    </row>
    <row r="512" spans="1:15">
      <c r="A512" s="4">
        <v>45985</v>
      </c>
      <c r="B512" t="s">
        <v>67</v>
      </c>
      <c r="C512" t="s">
        <v>81</v>
      </c>
      <c r="D512">
        <v>1510</v>
      </c>
      <c r="E512" t="s">
        <v>62</v>
      </c>
      <c r="F512" t="s">
        <v>602</v>
      </c>
      <c r="G512" t="s">
        <v>46</v>
      </c>
      <c r="H512" t="s">
        <v>70</v>
      </c>
      <c r="I512" t="s">
        <v>64</v>
      </c>
      <c r="J512" t="s">
        <v>57</v>
      </c>
      <c r="K512" t="s">
        <v>76</v>
      </c>
      <c r="L512">
        <v>1</v>
      </c>
      <c r="M512">
        <v>45</v>
      </c>
      <c r="N512" t="s">
        <v>71</v>
      </c>
      <c r="O512">
        <v>11</v>
      </c>
    </row>
    <row r="513" spans="1:15">
      <c r="A513" s="4">
        <v>45958</v>
      </c>
      <c r="B513" t="s">
        <v>60</v>
      </c>
      <c r="C513" t="s">
        <v>73</v>
      </c>
      <c r="D513">
        <v>960</v>
      </c>
      <c r="E513" t="s">
        <v>62</v>
      </c>
      <c r="F513" t="s">
        <v>603</v>
      </c>
      <c r="G513" t="s">
        <v>45</v>
      </c>
      <c r="H513" t="s">
        <v>70</v>
      </c>
      <c r="I513" t="s">
        <v>79</v>
      </c>
      <c r="J513" t="s">
        <v>65</v>
      </c>
      <c r="K513" t="s">
        <v>76</v>
      </c>
      <c r="L513">
        <v>3</v>
      </c>
      <c r="M513">
        <v>30</v>
      </c>
      <c r="N513" t="s">
        <v>71</v>
      </c>
      <c r="O513">
        <v>15</v>
      </c>
    </row>
    <row r="514" spans="1:15">
      <c r="A514" s="4">
        <v>45851</v>
      </c>
      <c r="B514" t="s">
        <v>97</v>
      </c>
      <c r="C514" t="s">
        <v>52</v>
      </c>
      <c r="D514">
        <v>4820</v>
      </c>
      <c r="E514" t="s">
        <v>74</v>
      </c>
      <c r="F514" t="s">
        <v>604</v>
      </c>
      <c r="G514" t="s">
        <v>45</v>
      </c>
      <c r="H514" t="s">
        <v>70</v>
      </c>
      <c r="I514" t="s">
        <v>64</v>
      </c>
      <c r="J514" t="s">
        <v>57</v>
      </c>
      <c r="K514" t="s">
        <v>66</v>
      </c>
      <c r="L514">
        <v>3</v>
      </c>
      <c r="M514">
        <v>90</v>
      </c>
      <c r="N514" t="s">
        <v>71</v>
      </c>
      <c r="O514">
        <v>10</v>
      </c>
    </row>
    <row r="515" spans="1:15">
      <c r="A515" s="4">
        <v>45908</v>
      </c>
      <c r="B515" t="s">
        <v>97</v>
      </c>
      <c r="C515" t="s">
        <v>61</v>
      </c>
      <c r="D515">
        <v>3960</v>
      </c>
      <c r="E515" t="s">
        <v>62</v>
      </c>
      <c r="F515" t="s">
        <v>605</v>
      </c>
      <c r="G515" t="s">
        <v>45</v>
      </c>
      <c r="H515" t="s">
        <v>55</v>
      </c>
      <c r="I515" t="s">
        <v>79</v>
      </c>
      <c r="J515" t="s">
        <v>65</v>
      </c>
      <c r="K515" t="s">
        <v>76</v>
      </c>
      <c r="L515">
        <v>4</v>
      </c>
      <c r="M515">
        <v>45</v>
      </c>
      <c r="N515" t="s">
        <v>59</v>
      </c>
      <c r="O515">
        <v>15</v>
      </c>
    </row>
    <row r="516" spans="1:15">
      <c r="A516" s="4">
        <v>45747</v>
      </c>
      <c r="B516" t="s">
        <v>97</v>
      </c>
      <c r="C516" t="s">
        <v>86</v>
      </c>
      <c r="D516">
        <v>1470</v>
      </c>
      <c r="E516" t="s">
        <v>62</v>
      </c>
      <c r="F516" t="s">
        <v>606</v>
      </c>
      <c r="G516" t="s">
        <v>46</v>
      </c>
      <c r="H516" t="s">
        <v>70</v>
      </c>
      <c r="I516" t="s">
        <v>56</v>
      </c>
      <c r="J516" t="s">
        <v>57</v>
      </c>
      <c r="K516" t="s">
        <v>76</v>
      </c>
      <c r="L516">
        <v>3</v>
      </c>
      <c r="M516">
        <v>30</v>
      </c>
      <c r="N516" t="s">
        <v>93</v>
      </c>
      <c r="O516">
        <v>15</v>
      </c>
    </row>
    <row r="517" spans="1:15">
      <c r="A517" s="4">
        <v>46010</v>
      </c>
      <c r="B517" t="s">
        <v>101</v>
      </c>
      <c r="C517" t="s">
        <v>95</v>
      </c>
      <c r="D517">
        <v>1810</v>
      </c>
      <c r="E517" t="s">
        <v>74</v>
      </c>
      <c r="F517" t="s">
        <v>607</v>
      </c>
      <c r="G517" t="s">
        <v>46</v>
      </c>
      <c r="H517" t="s">
        <v>70</v>
      </c>
      <c r="I517" t="s">
        <v>84</v>
      </c>
      <c r="J517" t="s">
        <v>57</v>
      </c>
      <c r="K517" t="s">
        <v>58</v>
      </c>
      <c r="L517">
        <v>3</v>
      </c>
      <c r="M517">
        <v>30</v>
      </c>
      <c r="N517" t="s">
        <v>59</v>
      </c>
      <c r="O517">
        <v>6</v>
      </c>
    </row>
    <row r="518" spans="1:15">
      <c r="A518" s="4">
        <v>45802</v>
      </c>
      <c r="B518" t="s">
        <v>72</v>
      </c>
      <c r="C518" t="s">
        <v>114</v>
      </c>
      <c r="D518">
        <v>2280</v>
      </c>
      <c r="E518" t="s">
        <v>74</v>
      </c>
      <c r="F518" t="s">
        <v>608</v>
      </c>
      <c r="G518" t="s">
        <v>45</v>
      </c>
      <c r="H518" t="s">
        <v>70</v>
      </c>
      <c r="I518" t="s">
        <v>92</v>
      </c>
      <c r="J518" t="s">
        <v>65</v>
      </c>
      <c r="K518" t="s">
        <v>58</v>
      </c>
      <c r="L518">
        <v>2</v>
      </c>
      <c r="M518">
        <v>90</v>
      </c>
      <c r="N518" t="s">
        <v>93</v>
      </c>
      <c r="O518">
        <v>16</v>
      </c>
    </row>
    <row r="519" spans="1:15">
      <c r="A519" s="4">
        <v>45739</v>
      </c>
      <c r="B519" t="s">
        <v>60</v>
      </c>
      <c r="C519" t="s">
        <v>86</v>
      </c>
      <c r="D519">
        <v>3860</v>
      </c>
      <c r="E519" t="s">
        <v>74</v>
      </c>
      <c r="F519" t="s">
        <v>609</v>
      </c>
      <c r="G519" t="s">
        <v>45</v>
      </c>
      <c r="H519" t="s">
        <v>70</v>
      </c>
      <c r="I519" t="s">
        <v>88</v>
      </c>
      <c r="J519" t="s">
        <v>57</v>
      </c>
      <c r="K519" t="s">
        <v>76</v>
      </c>
      <c r="L519">
        <v>4</v>
      </c>
      <c r="M519">
        <v>45</v>
      </c>
      <c r="N519" t="s">
        <v>93</v>
      </c>
      <c r="O519">
        <v>11</v>
      </c>
    </row>
    <row r="520" spans="1:15">
      <c r="A520" s="4">
        <v>45842</v>
      </c>
      <c r="B520" t="s">
        <v>72</v>
      </c>
      <c r="C520" t="s">
        <v>114</v>
      </c>
      <c r="D520">
        <v>2420</v>
      </c>
      <c r="E520" t="s">
        <v>62</v>
      </c>
      <c r="F520" t="s">
        <v>610</v>
      </c>
      <c r="G520" t="s">
        <v>45</v>
      </c>
      <c r="H520" t="s">
        <v>70</v>
      </c>
      <c r="I520" t="s">
        <v>88</v>
      </c>
      <c r="J520" t="s">
        <v>57</v>
      </c>
      <c r="K520" t="s">
        <v>66</v>
      </c>
      <c r="L520">
        <v>4</v>
      </c>
      <c r="M520">
        <v>30</v>
      </c>
      <c r="N520" t="s">
        <v>93</v>
      </c>
      <c r="O520">
        <v>10</v>
      </c>
    </row>
    <row r="521" spans="1:15">
      <c r="A521" s="4">
        <v>45669</v>
      </c>
      <c r="B521" t="s">
        <v>60</v>
      </c>
      <c r="C521" t="s">
        <v>114</v>
      </c>
      <c r="D521">
        <v>3700</v>
      </c>
      <c r="E521" t="s">
        <v>62</v>
      </c>
      <c r="F521" t="s">
        <v>611</v>
      </c>
      <c r="G521" t="s">
        <v>46</v>
      </c>
      <c r="H521" t="s">
        <v>55</v>
      </c>
      <c r="I521" t="s">
        <v>79</v>
      </c>
      <c r="J521" t="s">
        <v>65</v>
      </c>
      <c r="K521" t="s">
        <v>76</v>
      </c>
      <c r="L521">
        <v>3</v>
      </c>
      <c r="M521">
        <v>60</v>
      </c>
      <c r="N521" t="s">
        <v>59</v>
      </c>
      <c r="O521">
        <v>11</v>
      </c>
    </row>
    <row r="522" spans="1:15">
      <c r="A522" s="4">
        <v>45811</v>
      </c>
      <c r="B522" t="s">
        <v>116</v>
      </c>
      <c r="C522" t="s">
        <v>98</v>
      </c>
      <c r="D522">
        <v>1540</v>
      </c>
      <c r="E522" t="s">
        <v>53</v>
      </c>
      <c r="F522" t="s">
        <v>612</v>
      </c>
      <c r="G522" t="s">
        <v>46</v>
      </c>
      <c r="H522" t="s">
        <v>70</v>
      </c>
      <c r="I522" t="s">
        <v>92</v>
      </c>
      <c r="J522" t="s">
        <v>57</v>
      </c>
      <c r="K522" t="s">
        <v>58</v>
      </c>
      <c r="L522">
        <v>2</v>
      </c>
      <c r="M522">
        <v>90</v>
      </c>
      <c r="N522" t="s">
        <v>93</v>
      </c>
      <c r="O522">
        <v>7</v>
      </c>
    </row>
    <row r="523" spans="1:15">
      <c r="A523" s="4">
        <v>45714</v>
      </c>
      <c r="B523" t="s">
        <v>90</v>
      </c>
      <c r="C523" t="s">
        <v>98</v>
      </c>
      <c r="D523">
        <v>4900</v>
      </c>
      <c r="E523" t="s">
        <v>53</v>
      </c>
      <c r="F523" t="s">
        <v>613</v>
      </c>
      <c r="G523" t="s">
        <v>46</v>
      </c>
      <c r="H523" t="s">
        <v>70</v>
      </c>
      <c r="I523" t="s">
        <v>64</v>
      </c>
      <c r="J523" t="s">
        <v>57</v>
      </c>
      <c r="K523" t="s">
        <v>58</v>
      </c>
      <c r="L523">
        <v>1</v>
      </c>
      <c r="M523">
        <v>90</v>
      </c>
      <c r="N523" t="s">
        <v>71</v>
      </c>
      <c r="O523">
        <v>14</v>
      </c>
    </row>
    <row r="524" spans="1:15">
      <c r="A524" s="4">
        <v>45674</v>
      </c>
      <c r="B524" t="s">
        <v>67</v>
      </c>
      <c r="C524" t="s">
        <v>98</v>
      </c>
      <c r="D524">
        <v>2710</v>
      </c>
      <c r="E524" t="s">
        <v>74</v>
      </c>
      <c r="F524" t="s">
        <v>614</v>
      </c>
      <c r="G524" t="s">
        <v>46</v>
      </c>
      <c r="H524" t="s">
        <v>70</v>
      </c>
      <c r="I524" t="s">
        <v>56</v>
      </c>
      <c r="J524" t="s">
        <v>57</v>
      </c>
      <c r="K524" t="s">
        <v>66</v>
      </c>
      <c r="L524">
        <v>3</v>
      </c>
      <c r="M524">
        <v>30</v>
      </c>
      <c r="N524" t="s">
        <v>71</v>
      </c>
      <c r="O524">
        <v>14</v>
      </c>
    </row>
    <row r="525" spans="1:15">
      <c r="A525" s="4">
        <v>45839</v>
      </c>
      <c r="B525" t="s">
        <v>101</v>
      </c>
      <c r="C525" t="s">
        <v>52</v>
      </c>
      <c r="D525">
        <v>2180</v>
      </c>
      <c r="E525" t="s">
        <v>53</v>
      </c>
      <c r="F525" t="s">
        <v>615</v>
      </c>
      <c r="G525" t="s">
        <v>46</v>
      </c>
      <c r="H525" t="s">
        <v>70</v>
      </c>
      <c r="I525" t="s">
        <v>88</v>
      </c>
      <c r="J525" t="s">
        <v>57</v>
      </c>
      <c r="K525" t="s">
        <v>76</v>
      </c>
      <c r="L525">
        <v>4</v>
      </c>
      <c r="M525">
        <v>30</v>
      </c>
      <c r="N525" t="s">
        <v>59</v>
      </c>
      <c r="O525">
        <v>3</v>
      </c>
    </row>
    <row r="526" spans="1:15">
      <c r="A526" s="4">
        <v>45714</v>
      </c>
      <c r="B526" t="s">
        <v>109</v>
      </c>
      <c r="C526" t="s">
        <v>73</v>
      </c>
      <c r="D526">
        <v>1110</v>
      </c>
      <c r="E526" t="s">
        <v>53</v>
      </c>
      <c r="F526" t="s">
        <v>616</v>
      </c>
      <c r="G526" t="s">
        <v>45</v>
      </c>
      <c r="H526" t="s">
        <v>55</v>
      </c>
      <c r="I526" t="s">
        <v>88</v>
      </c>
      <c r="J526" t="s">
        <v>57</v>
      </c>
      <c r="K526" t="s">
        <v>66</v>
      </c>
      <c r="L526">
        <v>5</v>
      </c>
      <c r="M526">
        <v>60</v>
      </c>
      <c r="N526" t="s">
        <v>93</v>
      </c>
      <c r="O526">
        <v>15</v>
      </c>
    </row>
    <row r="527" spans="1:15">
      <c r="A527" s="4">
        <v>45855</v>
      </c>
      <c r="B527" t="s">
        <v>90</v>
      </c>
      <c r="C527" t="s">
        <v>61</v>
      </c>
      <c r="D527">
        <v>4040</v>
      </c>
      <c r="E527" t="s">
        <v>53</v>
      </c>
      <c r="F527" t="s">
        <v>617</v>
      </c>
      <c r="G527" t="s">
        <v>45</v>
      </c>
      <c r="H527" t="s">
        <v>55</v>
      </c>
      <c r="I527" t="s">
        <v>92</v>
      </c>
      <c r="J527" t="s">
        <v>65</v>
      </c>
      <c r="K527" t="s">
        <v>58</v>
      </c>
      <c r="L527">
        <v>4</v>
      </c>
      <c r="M527">
        <v>45</v>
      </c>
      <c r="N527" t="s">
        <v>93</v>
      </c>
      <c r="O527">
        <v>3</v>
      </c>
    </row>
    <row r="528" spans="1:15">
      <c r="A528" s="4">
        <v>45854</v>
      </c>
      <c r="B528" t="s">
        <v>80</v>
      </c>
      <c r="C528" t="s">
        <v>81</v>
      </c>
      <c r="D528">
        <v>2690</v>
      </c>
      <c r="E528" t="s">
        <v>62</v>
      </c>
      <c r="F528" t="s">
        <v>618</v>
      </c>
      <c r="G528" t="s">
        <v>46</v>
      </c>
      <c r="H528" t="s">
        <v>55</v>
      </c>
      <c r="I528" t="s">
        <v>84</v>
      </c>
      <c r="J528" t="s">
        <v>65</v>
      </c>
      <c r="K528" t="s">
        <v>66</v>
      </c>
      <c r="L528">
        <v>1</v>
      </c>
      <c r="M528">
        <v>90</v>
      </c>
      <c r="N528" t="s">
        <v>71</v>
      </c>
      <c r="O528">
        <v>10</v>
      </c>
    </row>
    <row r="529" spans="1:15">
      <c r="A529" s="4">
        <v>46019</v>
      </c>
      <c r="B529" t="s">
        <v>97</v>
      </c>
      <c r="C529" t="s">
        <v>61</v>
      </c>
      <c r="D529">
        <v>1120</v>
      </c>
      <c r="E529" t="s">
        <v>62</v>
      </c>
      <c r="F529" t="s">
        <v>619</v>
      </c>
      <c r="G529" t="s">
        <v>45</v>
      </c>
      <c r="H529" t="s">
        <v>55</v>
      </c>
      <c r="I529" t="s">
        <v>56</v>
      </c>
      <c r="J529" t="s">
        <v>57</v>
      </c>
      <c r="K529" t="s">
        <v>66</v>
      </c>
      <c r="L529">
        <v>2</v>
      </c>
      <c r="M529">
        <v>45</v>
      </c>
      <c r="N529" t="s">
        <v>71</v>
      </c>
      <c r="O529">
        <v>6</v>
      </c>
    </row>
    <row r="530" spans="1:15">
      <c r="A530" s="4">
        <v>45777</v>
      </c>
      <c r="B530" t="s">
        <v>101</v>
      </c>
      <c r="C530" t="s">
        <v>81</v>
      </c>
      <c r="D530">
        <v>2370</v>
      </c>
      <c r="E530" t="s">
        <v>53</v>
      </c>
      <c r="F530" t="s">
        <v>620</v>
      </c>
      <c r="G530" t="s">
        <v>46</v>
      </c>
      <c r="H530" t="s">
        <v>55</v>
      </c>
      <c r="I530" t="s">
        <v>92</v>
      </c>
      <c r="J530" t="s">
        <v>65</v>
      </c>
      <c r="K530" t="s">
        <v>66</v>
      </c>
      <c r="L530">
        <v>3</v>
      </c>
      <c r="M530">
        <v>60</v>
      </c>
      <c r="N530" t="s">
        <v>93</v>
      </c>
      <c r="O530">
        <v>13</v>
      </c>
    </row>
    <row r="531" spans="1:15">
      <c r="A531" s="4">
        <v>45874</v>
      </c>
      <c r="B531" t="s">
        <v>116</v>
      </c>
      <c r="C531" t="s">
        <v>77</v>
      </c>
      <c r="D531">
        <v>2590</v>
      </c>
      <c r="E531" t="s">
        <v>53</v>
      </c>
      <c r="F531" t="s">
        <v>621</v>
      </c>
      <c r="G531" t="s">
        <v>45</v>
      </c>
      <c r="H531" t="s">
        <v>70</v>
      </c>
      <c r="I531" t="s">
        <v>92</v>
      </c>
      <c r="J531" t="s">
        <v>65</v>
      </c>
      <c r="K531" t="s">
        <v>66</v>
      </c>
      <c r="L531">
        <v>2</v>
      </c>
      <c r="M531">
        <v>90</v>
      </c>
      <c r="N531" t="s">
        <v>71</v>
      </c>
      <c r="O531">
        <v>17</v>
      </c>
    </row>
    <row r="532" spans="1:15">
      <c r="A532" s="4">
        <v>45917</v>
      </c>
      <c r="B532" t="s">
        <v>109</v>
      </c>
      <c r="C532" t="s">
        <v>73</v>
      </c>
      <c r="D532">
        <v>4430</v>
      </c>
      <c r="E532" t="s">
        <v>53</v>
      </c>
      <c r="F532" t="s">
        <v>622</v>
      </c>
      <c r="G532" t="s">
        <v>45</v>
      </c>
      <c r="H532" t="s">
        <v>55</v>
      </c>
      <c r="I532" t="s">
        <v>92</v>
      </c>
      <c r="J532" t="s">
        <v>57</v>
      </c>
      <c r="K532" t="s">
        <v>66</v>
      </c>
      <c r="L532">
        <v>4</v>
      </c>
      <c r="M532">
        <v>45</v>
      </c>
      <c r="N532" t="s">
        <v>93</v>
      </c>
      <c r="O532">
        <v>13</v>
      </c>
    </row>
    <row r="533" spans="1:15">
      <c r="A533" s="4">
        <v>45999</v>
      </c>
      <c r="B533" t="s">
        <v>51</v>
      </c>
      <c r="C533" t="s">
        <v>77</v>
      </c>
      <c r="D533">
        <v>370</v>
      </c>
      <c r="E533" t="s">
        <v>74</v>
      </c>
      <c r="F533" t="s">
        <v>623</v>
      </c>
      <c r="G533" t="s">
        <v>46</v>
      </c>
      <c r="H533" t="s">
        <v>70</v>
      </c>
      <c r="I533" t="s">
        <v>84</v>
      </c>
      <c r="J533" t="s">
        <v>65</v>
      </c>
      <c r="K533" t="s">
        <v>76</v>
      </c>
      <c r="L533">
        <v>1</v>
      </c>
      <c r="M533">
        <v>90</v>
      </c>
      <c r="N533" t="s">
        <v>59</v>
      </c>
      <c r="O533">
        <v>20</v>
      </c>
    </row>
    <row r="534" spans="1:15">
      <c r="A534" s="4">
        <v>45787</v>
      </c>
      <c r="B534" t="s">
        <v>90</v>
      </c>
      <c r="C534" t="s">
        <v>52</v>
      </c>
      <c r="D534">
        <v>2610</v>
      </c>
      <c r="E534" t="s">
        <v>62</v>
      </c>
      <c r="F534" t="s">
        <v>624</v>
      </c>
      <c r="G534" t="s">
        <v>46</v>
      </c>
      <c r="H534" t="s">
        <v>55</v>
      </c>
      <c r="I534" t="s">
        <v>64</v>
      </c>
      <c r="J534" t="s">
        <v>65</v>
      </c>
      <c r="K534" t="s">
        <v>76</v>
      </c>
      <c r="L534">
        <v>5</v>
      </c>
      <c r="M534">
        <v>45</v>
      </c>
      <c r="N534" t="s">
        <v>59</v>
      </c>
      <c r="O534">
        <v>18</v>
      </c>
    </row>
    <row r="535" spans="1:15">
      <c r="A535" s="4">
        <v>45954</v>
      </c>
      <c r="B535" t="s">
        <v>97</v>
      </c>
      <c r="C535" t="s">
        <v>98</v>
      </c>
      <c r="D535">
        <v>2660</v>
      </c>
      <c r="E535" t="s">
        <v>62</v>
      </c>
      <c r="F535" t="s">
        <v>625</v>
      </c>
      <c r="G535" t="s">
        <v>46</v>
      </c>
      <c r="H535" t="s">
        <v>70</v>
      </c>
      <c r="I535" t="s">
        <v>88</v>
      </c>
      <c r="J535" t="s">
        <v>65</v>
      </c>
      <c r="K535" t="s">
        <v>66</v>
      </c>
      <c r="L535">
        <v>2</v>
      </c>
      <c r="M535">
        <v>60</v>
      </c>
      <c r="N535" t="s">
        <v>93</v>
      </c>
      <c r="O535">
        <v>17</v>
      </c>
    </row>
    <row r="536" spans="1:15">
      <c r="A536" s="4">
        <v>45819</v>
      </c>
      <c r="B536" t="s">
        <v>67</v>
      </c>
      <c r="C536" t="s">
        <v>81</v>
      </c>
      <c r="D536">
        <v>4320</v>
      </c>
      <c r="E536" t="s">
        <v>53</v>
      </c>
      <c r="F536" t="s">
        <v>626</v>
      </c>
      <c r="G536" t="s">
        <v>45</v>
      </c>
      <c r="H536" t="s">
        <v>70</v>
      </c>
      <c r="I536" t="s">
        <v>56</v>
      </c>
      <c r="J536" t="s">
        <v>57</v>
      </c>
      <c r="K536" t="s">
        <v>76</v>
      </c>
      <c r="L536">
        <v>5</v>
      </c>
      <c r="M536">
        <v>60</v>
      </c>
      <c r="N536" t="s">
        <v>59</v>
      </c>
      <c r="O536">
        <v>11</v>
      </c>
    </row>
    <row r="537" spans="1:15">
      <c r="A537" s="4">
        <v>45704</v>
      </c>
      <c r="B537" t="s">
        <v>116</v>
      </c>
      <c r="C537" t="s">
        <v>81</v>
      </c>
      <c r="D537">
        <v>530</v>
      </c>
      <c r="E537" t="s">
        <v>74</v>
      </c>
      <c r="F537" t="s">
        <v>627</v>
      </c>
      <c r="G537" t="s">
        <v>45</v>
      </c>
      <c r="H537" t="s">
        <v>55</v>
      </c>
      <c r="I537" t="s">
        <v>64</v>
      </c>
      <c r="J537" t="s">
        <v>65</v>
      </c>
      <c r="K537" t="s">
        <v>58</v>
      </c>
      <c r="L537">
        <v>2</v>
      </c>
      <c r="M537">
        <v>30</v>
      </c>
      <c r="N537" t="s">
        <v>71</v>
      </c>
      <c r="O537">
        <v>11</v>
      </c>
    </row>
    <row r="538" spans="1:15">
      <c r="A538" s="4">
        <v>45675</v>
      </c>
      <c r="B538" t="s">
        <v>60</v>
      </c>
      <c r="C538" t="s">
        <v>95</v>
      </c>
      <c r="D538">
        <v>1630</v>
      </c>
      <c r="E538" t="s">
        <v>62</v>
      </c>
      <c r="F538" t="s">
        <v>628</v>
      </c>
      <c r="G538" t="s">
        <v>45</v>
      </c>
      <c r="H538" t="s">
        <v>55</v>
      </c>
      <c r="I538" t="s">
        <v>56</v>
      </c>
      <c r="J538" t="s">
        <v>65</v>
      </c>
      <c r="K538" t="s">
        <v>76</v>
      </c>
      <c r="L538">
        <v>3</v>
      </c>
      <c r="M538">
        <v>45</v>
      </c>
      <c r="N538" t="s">
        <v>59</v>
      </c>
      <c r="O538">
        <v>15</v>
      </c>
    </row>
    <row r="539" spans="1:15">
      <c r="A539" s="4">
        <v>45769</v>
      </c>
      <c r="B539" t="s">
        <v>90</v>
      </c>
      <c r="C539" t="s">
        <v>77</v>
      </c>
      <c r="D539">
        <v>4050</v>
      </c>
      <c r="E539" t="s">
        <v>62</v>
      </c>
      <c r="F539" t="s">
        <v>629</v>
      </c>
      <c r="G539" t="s">
        <v>45</v>
      </c>
      <c r="H539" t="s">
        <v>55</v>
      </c>
      <c r="I539" t="s">
        <v>92</v>
      </c>
      <c r="J539" t="s">
        <v>57</v>
      </c>
      <c r="K539" t="s">
        <v>76</v>
      </c>
      <c r="L539">
        <v>2</v>
      </c>
      <c r="M539">
        <v>90</v>
      </c>
      <c r="N539" t="s">
        <v>59</v>
      </c>
      <c r="O539">
        <v>13</v>
      </c>
    </row>
    <row r="540" spans="1:15">
      <c r="A540" s="4">
        <v>45684</v>
      </c>
      <c r="B540" t="s">
        <v>94</v>
      </c>
      <c r="C540" t="s">
        <v>81</v>
      </c>
      <c r="D540">
        <v>2200</v>
      </c>
      <c r="E540" t="s">
        <v>74</v>
      </c>
      <c r="F540" t="s">
        <v>630</v>
      </c>
      <c r="G540" t="s">
        <v>45</v>
      </c>
      <c r="H540" t="s">
        <v>70</v>
      </c>
      <c r="I540" t="s">
        <v>88</v>
      </c>
      <c r="J540" t="s">
        <v>65</v>
      </c>
      <c r="K540" t="s">
        <v>58</v>
      </c>
      <c r="L540">
        <v>3</v>
      </c>
      <c r="M540">
        <v>60</v>
      </c>
      <c r="N540" t="s">
        <v>71</v>
      </c>
      <c r="O540">
        <v>12</v>
      </c>
    </row>
    <row r="541" spans="1:15">
      <c r="A541" s="4">
        <v>45820</v>
      </c>
      <c r="B541" t="s">
        <v>85</v>
      </c>
      <c r="C541" t="s">
        <v>95</v>
      </c>
      <c r="D541">
        <v>1430</v>
      </c>
      <c r="E541" t="s">
        <v>53</v>
      </c>
      <c r="F541" t="s">
        <v>631</v>
      </c>
      <c r="G541" t="s">
        <v>45</v>
      </c>
      <c r="H541" t="s">
        <v>55</v>
      </c>
      <c r="I541" t="s">
        <v>56</v>
      </c>
      <c r="J541" t="s">
        <v>65</v>
      </c>
      <c r="K541" t="s">
        <v>76</v>
      </c>
      <c r="L541">
        <v>1</v>
      </c>
      <c r="M541">
        <v>30</v>
      </c>
      <c r="N541" t="s">
        <v>59</v>
      </c>
      <c r="O541">
        <v>18</v>
      </c>
    </row>
    <row r="542" spans="1:15">
      <c r="A542" s="4">
        <v>45788</v>
      </c>
      <c r="B542" t="s">
        <v>109</v>
      </c>
      <c r="C542" t="s">
        <v>73</v>
      </c>
      <c r="D542">
        <v>4620</v>
      </c>
      <c r="E542" t="s">
        <v>74</v>
      </c>
      <c r="F542" t="s">
        <v>632</v>
      </c>
      <c r="G542" t="s">
        <v>46</v>
      </c>
      <c r="H542" t="s">
        <v>55</v>
      </c>
      <c r="I542" t="s">
        <v>79</v>
      </c>
      <c r="J542" t="s">
        <v>65</v>
      </c>
      <c r="K542" t="s">
        <v>58</v>
      </c>
      <c r="L542">
        <v>1</v>
      </c>
      <c r="M542">
        <v>30</v>
      </c>
      <c r="N542" t="s">
        <v>71</v>
      </c>
      <c r="O542">
        <v>18</v>
      </c>
    </row>
    <row r="543" spans="1:15">
      <c r="A543" s="4">
        <v>45766</v>
      </c>
      <c r="B543" t="s">
        <v>85</v>
      </c>
      <c r="C543" t="s">
        <v>86</v>
      </c>
      <c r="D543">
        <v>3660</v>
      </c>
      <c r="E543" t="s">
        <v>62</v>
      </c>
      <c r="F543" t="s">
        <v>633</v>
      </c>
      <c r="G543" t="s">
        <v>45</v>
      </c>
      <c r="H543" t="s">
        <v>55</v>
      </c>
      <c r="I543" t="s">
        <v>56</v>
      </c>
      <c r="J543" t="s">
        <v>65</v>
      </c>
      <c r="K543" t="s">
        <v>58</v>
      </c>
      <c r="L543">
        <v>3</v>
      </c>
      <c r="M543">
        <v>30</v>
      </c>
      <c r="N543" t="s">
        <v>59</v>
      </c>
      <c r="O543">
        <v>14</v>
      </c>
    </row>
    <row r="544" spans="1:15">
      <c r="A544" s="4">
        <v>45668</v>
      </c>
      <c r="B544" t="s">
        <v>85</v>
      </c>
      <c r="C544" t="s">
        <v>98</v>
      </c>
      <c r="D544">
        <v>3460</v>
      </c>
      <c r="E544" t="s">
        <v>62</v>
      </c>
      <c r="F544" t="s">
        <v>634</v>
      </c>
      <c r="G544" t="s">
        <v>46</v>
      </c>
      <c r="H544" t="s">
        <v>55</v>
      </c>
      <c r="I544" t="s">
        <v>92</v>
      </c>
      <c r="J544" t="s">
        <v>65</v>
      </c>
      <c r="K544" t="s">
        <v>66</v>
      </c>
      <c r="L544">
        <v>4</v>
      </c>
      <c r="M544">
        <v>45</v>
      </c>
      <c r="N544" t="s">
        <v>59</v>
      </c>
      <c r="O544">
        <v>8</v>
      </c>
    </row>
    <row r="545" spans="1:15">
      <c r="A545" s="4">
        <v>45682</v>
      </c>
      <c r="B545" t="s">
        <v>116</v>
      </c>
      <c r="C545" t="s">
        <v>61</v>
      </c>
      <c r="D545">
        <v>4650</v>
      </c>
      <c r="E545" t="s">
        <v>74</v>
      </c>
      <c r="F545" t="s">
        <v>635</v>
      </c>
      <c r="G545" t="s">
        <v>45</v>
      </c>
      <c r="H545" t="s">
        <v>55</v>
      </c>
      <c r="I545" t="s">
        <v>88</v>
      </c>
      <c r="J545" t="s">
        <v>65</v>
      </c>
      <c r="K545" t="s">
        <v>66</v>
      </c>
      <c r="L545">
        <v>4</v>
      </c>
      <c r="M545">
        <v>45</v>
      </c>
      <c r="N545" t="s">
        <v>93</v>
      </c>
      <c r="O545">
        <v>15</v>
      </c>
    </row>
    <row r="546" spans="1:15">
      <c r="A546" s="4">
        <v>45752</v>
      </c>
      <c r="B546" t="s">
        <v>94</v>
      </c>
      <c r="C546" t="s">
        <v>61</v>
      </c>
      <c r="D546">
        <v>2190</v>
      </c>
      <c r="E546" t="s">
        <v>62</v>
      </c>
      <c r="F546" t="s">
        <v>636</v>
      </c>
      <c r="G546" t="s">
        <v>45</v>
      </c>
      <c r="H546" t="s">
        <v>55</v>
      </c>
      <c r="I546" t="s">
        <v>79</v>
      </c>
      <c r="J546" t="s">
        <v>65</v>
      </c>
      <c r="K546" t="s">
        <v>66</v>
      </c>
      <c r="L546">
        <v>5</v>
      </c>
      <c r="M546">
        <v>60</v>
      </c>
      <c r="N546" t="s">
        <v>59</v>
      </c>
      <c r="O546">
        <v>11</v>
      </c>
    </row>
    <row r="547" spans="1:15">
      <c r="A547" s="4">
        <v>45738</v>
      </c>
      <c r="B547" t="s">
        <v>51</v>
      </c>
      <c r="C547" t="s">
        <v>86</v>
      </c>
      <c r="D547">
        <v>4790</v>
      </c>
      <c r="E547" t="s">
        <v>74</v>
      </c>
      <c r="F547" t="s">
        <v>637</v>
      </c>
      <c r="G547" t="s">
        <v>46</v>
      </c>
      <c r="H547" t="s">
        <v>70</v>
      </c>
      <c r="I547" t="s">
        <v>79</v>
      </c>
      <c r="J547" t="s">
        <v>57</v>
      </c>
      <c r="K547" t="s">
        <v>66</v>
      </c>
      <c r="L547">
        <v>1</v>
      </c>
      <c r="M547">
        <v>30</v>
      </c>
      <c r="N547" t="s">
        <v>59</v>
      </c>
      <c r="O547">
        <v>11</v>
      </c>
    </row>
    <row r="548" spans="1:15">
      <c r="A548" s="4">
        <v>45758</v>
      </c>
      <c r="B548" t="s">
        <v>72</v>
      </c>
      <c r="C548" t="s">
        <v>73</v>
      </c>
      <c r="D548">
        <v>1250</v>
      </c>
      <c r="E548" t="s">
        <v>53</v>
      </c>
      <c r="F548" t="s">
        <v>638</v>
      </c>
      <c r="G548" t="s">
        <v>46</v>
      </c>
      <c r="H548" t="s">
        <v>55</v>
      </c>
      <c r="I548" t="s">
        <v>92</v>
      </c>
      <c r="J548" t="s">
        <v>57</v>
      </c>
      <c r="K548" t="s">
        <v>76</v>
      </c>
      <c r="L548">
        <v>2</v>
      </c>
      <c r="M548">
        <v>60</v>
      </c>
      <c r="N548" t="s">
        <v>59</v>
      </c>
      <c r="O548">
        <v>4</v>
      </c>
    </row>
    <row r="549" spans="1:15">
      <c r="A549" s="4">
        <v>45700</v>
      </c>
      <c r="B549" t="s">
        <v>109</v>
      </c>
      <c r="C549" t="s">
        <v>98</v>
      </c>
      <c r="D549">
        <v>400</v>
      </c>
      <c r="E549" t="s">
        <v>74</v>
      </c>
      <c r="F549" t="s">
        <v>639</v>
      </c>
      <c r="G549" t="s">
        <v>45</v>
      </c>
      <c r="H549" t="s">
        <v>70</v>
      </c>
      <c r="I549" t="s">
        <v>56</v>
      </c>
      <c r="J549" t="s">
        <v>65</v>
      </c>
      <c r="K549" t="s">
        <v>58</v>
      </c>
      <c r="L549">
        <v>3</v>
      </c>
      <c r="M549">
        <v>30</v>
      </c>
      <c r="N549" t="s">
        <v>59</v>
      </c>
      <c r="O549">
        <v>16</v>
      </c>
    </row>
    <row r="550" spans="1:15">
      <c r="A550" s="4">
        <v>45785</v>
      </c>
      <c r="B550" t="s">
        <v>72</v>
      </c>
      <c r="C550" t="s">
        <v>77</v>
      </c>
      <c r="D550">
        <v>2400</v>
      </c>
      <c r="E550" t="s">
        <v>62</v>
      </c>
      <c r="F550" t="s">
        <v>640</v>
      </c>
      <c r="G550" t="s">
        <v>46</v>
      </c>
      <c r="H550" t="s">
        <v>70</v>
      </c>
      <c r="I550" t="s">
        <v>79</v>
      </c>
      <c r="J550" t="s">
        <v>57</v>
      </c>
      <c r="K550" t="s">
        <v>76</v>
      </c>
      <c r="L550">
        <v>3</v>
      </c>
      <c r="M550">
        <v>30</v>
      </c>
      <c r="N550" t="s">
        <v>93</v>
      </c>
      <c r="O550">
        <v>12</v>
      </c>
    </row>
    <row r="551" spans="1:15">
      <c r="A551" s="4">
        <v>45956</v>
      </c>
      <c r="B551" t="s">
        <v>94</v>
      </c>
      <c r="C551" t="s">
        <v>52</v>
      </c>
      <c r="D551">
        <v>3610</v>
      </c>
      <c r="E551" t="s">
        <v>53</v>
      </c>
      <c r="F551" t="s">
        <v>641</v>
      </c>
      <c r="G551" t="s">
        <v>45</v>
      </c>
      <c r="H551" t="s">
        <v>70</v>
      </c>
      <c r="I551" t="s">
        <v>84</v>
      </c>
      <c r="J551" t="s">
        <v>65</v>
      </c>
      <c r="K551" t="s">
        <v>66</v>
      </c>
      <c r="L551">
        <v>3</v>
      </c>
      <c r="M551">
        <v>60</v>
      </c>
      <c r="N551" t="s">
        <v>93</v>
      </c>
      <c r="O551">
        <v>16</v>
      </c>
    </row>
    <row r="552" spans="1:15">
      <c r="A552" s="4">
        <v>45788</v>
      </c>
      <c r="B552" t="s">
        <v>97</v>
      </c>
      <c r="C552" t="s">
        <v>77</v>
      </c>
      <c r="D552">
        <v>4850</v>
      </c>
      <c r="E552" t="s">
        <v>74</v>
      </c>
      <c r="F552" t="s">
        <v>642</v>
      </c>
      <c r="G552" t="s">
        <v>45</v>
      </c>
      <c r="H552" t="s">
        <v>70</v>
      </c>
      <c r="I552" t="s">
        <v>56</v>
      </c>
      <c r="J552" t="s">
        <v>65</v>
      </c>
      <c r="K552" t="s">
        <v>76</v>
      </c>
      <c r="L552">
        <v>3</v>
      </c>
      <c r="M552">
        <v>60</v>
      </c>
      <c r="N552" t="s">
        <v>93</v>
      </c>
      <c r="O552">
        <v>14</v>
      </c>
    </row>
    <row r="553" spans="1:15">
      <c r="A553" s="4">
        <v>45911</v>
      </c>
      <c r="B553" t="s">
        <v>72</v>
      </c>
      <c r="C553" t="s">
        <v>98</v>
      </c>
      <c r="D553">
        <v>2860</v>
      </c>
      <c r="E553" t="s">
        <v>74</v>
      </c>
      <c r="F553" t="s">
        <v>643</v>
      </c>
      <c r="G553" t="s">
        <v>45</v>
      </c>
      <c r="H553" t="s">
        <v>70</v>
      </c>
      <c r="I553" t="s">
        <v>88</v>
      </c>
      <c r="J553" t="s">
        <v>65</v>
      </c>
      <c r="K553" t="s">
        <v>76</v>
      </c>
      <c r="L553">
        <v>5</v>
      </c>
      <c r="M553">
        <v>45</v>
      </c>
      <c r="N553" t="s">
        <v>71</v>
      </c>
      <c r="O553">
        <v>9</v>
      </c>
    </row>
    <row r="554" spans="1:15">
      <c r="A554" s="4">
        <v>45969</v>
      </c>
      <c r="B554" t="s">
        <v>51</v>
      </c>
      <c r="C554" t="s">
        <v>77</v>
      </c>
      <c r="D554">
        <v>4450</v>
      </c>
      <c r="E554" t="s">
        <v>53</v>
      </c>
      <c r="F554" t="s">
        <v>644</v>
      </c>
      <c r="G554" t="s">
        <v>46</v>
      </c>
      <c r="H554" t="s">
        <v>55</v>
      </c>
      <c r="I554" t="s">
        <v>56</v>
      </c>
      <c r="J554" t="s">
        <v>57</v>
      </c>
      <c r="K554" t="s">
        <v>58</v>
      </c>
      <c r="L554">
        <v>5</v>
      </c>
      <c r="M554">
        <v>90</v>
      </c>
      <c r="N554" t="s">
        <v>59</v>
      </c>
      <c r="O554">
        <v>11</v>
      </c>
    </row>
    <row r="555" spans="1:15">
      <c r="A555" s="4">
        <v>45929</v>
      </c>
      <c r="B555" t="s">
        <v>101</v>
      </c>
      <c r="C555" t="s">
        <v>73</v>
      </c>
      <c r="D555">
        <v>1320</v>
      </c>
      <c r="E555" t="s">
        <v>62</v>
      </c>
      <c r="F555" t="s">
        <v>645</v>
      </c>
      <c r="G555" t="s">
        <v>46</v>
      </c>
      <c r="H555" t="s">
        <v>70</v>
      </c>
      <c r="I555" t="s">
        <v>79</v>
      </c>
      <c r="J555" t="s">
        <v>65</v>
      </c>
      <c r="K555" t="s">
        <v>66</v>
      </c>
      <c r="L555">
        <v>1</v>
      </c>
      <c r="M555">
        <v>45</v>
      </c>
      <c r="N555" t="s">
        <v>71</v>
      </c>
      <c r="O555">
        <v>18</v>
      </c>
    </row>
    <row r="556" spans="1:15">
      <c r="A556" s="4">
        <v>45975</v>
      </c>
      <c r="B556" t="s">
        <v>101</v>
      </c>
      <c r="C556" t="s">
        <v>73</v>
      </c>
      <c r="D556">
        <v>3080</v>
      </c>
      <c r="E556" t="s">
        <v>74</v>
      </c>
      <c r="F556" t="s">
        <v>646</v>
      </c>
      <c r="G556" t="s">
        <v>45</v>
      </c>
      <c r="H556" t="s">
        <v>55</v>
      </c>
      <c r="I556" t="s">
        <v>56</v>
      </c>
      <c r="J556" t="s">
        <v>65</v>
      </c>
      <c r="K556" t="s">
        <v>58</v>
      </c>
      <c r="L556">
        <v>5</v>
      </c>
      <c r="M556">
        <v>90</v>
      </c>
      <c r="N556" t="s">
        <v>93</v>
      </c>
      <c r="O556">
        <v>14</v>
      </c>
    </row>
    <row r="557" spans="1:15">
      <c r="A557" s="4">
        <v>45808</v>
      </c>
      <c r="B557" t="s">
        <v>80</v>
      </c>
      <c r="C557" t="s">
        <v>61</v>
      </c>
      <c r="D557">
        <v>3960</v>
      </c>
      <c r="E557" t="s">
        <v>74</v>
      </c>
      <c r="F557" t="s">
        <v>647</v>
      </c>
      <c r="G557" t="s">
        <v>45</v>
      </c>
      <c r="H557" t="s">
        <v>55</v>
      </c>
      <c r="I557" t="s">
        <v>64</v>
      </c>
      <c r="J557" t="s">
        <v>57</v>
      </c>
      <c r="K557" t="s">
        <v>76</v>
      </c>
      <c r="L557">
        <v>2</v>
      </c>
      <c r="M557">
        <v>45</v>
      </c>
      <c r="N557" t="s">
        <v>71</v>
      </c>
      <c r="O557">
        <v>4</v>
      </c>
    </row>
    <row r="558" spans="1:15">
      <c r="A558" s="4">
        <v>45675</v>
      </c>
      <c r="B558" t="s">
        <v>60</v>
      </c>
      <c r="C558" t="s">
        <v>114</v>
      </c>
      <c r="D558">
        <v>3480</v>
      </c>
      <c r="E558" t="s">
        <v>53</v>
      </c>
      <c r="F558" t="s">
        <v>648</v>
      </c>
      <c r="G558" t="s">
        <v>45</v>
      </c>
      <c r="H558" t="s">
        <v>55</v>
      </c>
      <c r="I558" t="s">
        <v>64</v>
      </c>
      <c r="J558" t="s">
        <v>57</v>
      </c>
      <c r="K558" t="s">
        <v>76</v>
      </c>
      <c r="L558">
        <v>3</v>
      </c>
      <c r="M558">
        <v>90</v>
      </c>
      <c r="N558" t="s">
        <v>71</v>
      </c>
      <c r="O558">
        <v>13</v>
      </c>
    </row>
    <row r="559" spans="1:15">
      <c r="A559" s="4">
        <v>45799</v>
      </c>
      <c r="B559" t="s">
        <v>72</v>
      </c>
      <c r="C559" t="s">
        <v>61</v>
      </c>
      <c r="D559">
        <v>2800</v>
      </c>
      <c r="E559" t="s">
        <v>62</v>
      </c>
      <c r="F559" t="s">
        <v>649</v>
      </c>
      <c r="G559" t="s">
        <v>45</v>
      </c>
      <c r="H559" t="s">
        <v>70</v>
      </c>
      <c r="I559" t="s">
        <v>56</v>
      </c>
      <c r="J559" t="s">
        <v>65</v>
      </c>
      <c r="K559" t="s">
        <v>76</v>
      </c>
      <c r="L559">
        <v>5</v>
      </c>
      <c r="M559">
        <v>30</v>
      </c>
      <c r="N559" t="s">
        <v>71</v>
      </c>
      <c r="O559">
        <v>3</v>
      </c>
    </row>
    <row r="560" spans="1:15">
      <c r="A560" s="4">
        <v>45754</v>
      </c>
      <c r="B560" t="s">
        <v>90</v>
      </c>
      <c r="C560" t="s">
        <v>95</v>
      </c>
      <c r="D560">
        <v>1390</v>
      </c>
      <c r="E560" t="s">
        <v>62</v>
      </c>
      <c r="F560" t="s">
        <v>650</v>
      </c>
      <c r="G560" t="s">
        <v>46</v>
      </c>
      <c r="H560" t="s">
        <v>55</v>
      </c>
      <c r="I560" t="s">
        <v>56</v>
      </c>
      <c r="J560" t="s">
        <v>57</v>
      </c>
      <c r="K560" t="s">
        <v>58</v>
      </c>
      <c r="L560">
        <v>5</v>
      </c>
      <c r="M560">
        <v>30</v>
      </c>
      <c r="N560" t="s">
        <v>59</v>
      </c>
      <c r="O560">
        <v>18</v>
      </c>
    </row>
    <row r="561" spans="1:15">
      <c r="A561" s="4">
        <v>45996</v>
      </c>
      <c r="B561" t="s">
        <v>97</v>
      </c>
      <c r="C561" t="s">
        <v>52</v>
      </c>
      <c r="D561">
        <v>2160</v>
      </c>
      <c r="E561" t="s">
        <v>74</v>
      </c>
      <c r="F561" t="s">
        <v>651</v>
      </c>
      <c r="G561" t="s">
        <v>45</v>
      </c>
      <c r="H561" t="s">
        <v>70</v>
      </c>
      <c r="I561" t="s">
        <v>88</v>
      </c>
      <c r="J561" t="s">
        <v>65</v>
      </c>
      <c r="K561" t="s">
        <v>66</v>
      </c>
      <c r="L561">
        <v>2</v>
      </c>
      <c r="M561">
        <v>45</v>
      </c>
      <c r="N561" t="s">
        <v>71</v>
      </c>
      <c r="O561">
        <v>13</v>
      </c>
    </row>
    <row r="562" spans="1:15">
      <c r="A562" s="4">
        <v>45813</v>
      </c>
      <c r="B562" t="s">
        <v>60</v>
      </c>
      <c r="C562" t="s">
        <v>81</v>
      </c>
      <c r="D562">
        <v>960</v>
      </c>
      <c r="E562" t="s">
        <v>53</v>
      </c>
      <c r="F562" t="s">
        <v>652</v>
      </c>
      <c r="G562" t="s">
        <v>45</v>
      </c>
      <c r="H562" t="s">
        <v>70</v>
      </c>
      <c r="I562" t="s">
        <v>88</v>
      </c>
      <c r="J562" t="s">
        <v>65</v>
      </c>
      <c r="K562" t="s">
        <v>58</v>
      </c>
      <c r="L562">
        <v>1</v>
      </c>
      <c r="M562">
        <v>30</v>
      </c>
      <c r="N562" t="s">
        <v>93</v>
      </c>
      <c r="O562">
        <v>17</v>
      </c>
    </row>
    <row r="563" spans="1:15">
      <c r="A563" s="4">
        <v>45993</v>
      </c>
      <c r="B563" t="s">
        <v>85</v>
      </c>
      <c r="C563" t="s">
        <v>52</v>
      </c>
      <c r="D563">
        <v>3100</v>
      </c>
      <c r="E563" t="s">
        <v>62</v>
      </c>
      <c r="F563" t="s">
        <v>653</v>
      </c>
      <c r="G563" t="s">
        <v>46</v>
      </c>
      <c r="H563" t="s">
        <v>70</v>
      </c>
      <c r="I563" t="s">
        <v>88</v>
      </c>
      <c r="J563" t="s">
        <v>65</v>
      </c>
      <c r="K563" t="s">
        <v>66</v>
      </c>
      <c r="L563">
        <v>5</v>
      </c>
      <c r="M563">
        <v>45</v>
      </c>
      <c r="N563" t="s">
        <v>71</v>
      </c>
      <c r="O563">
        <v>15</v>
      </c>
    </row>
    <row r="564" spans="1:15">
      <c r="A564" s="4">
        <v>45977</v>
      </c>
      <c r="B564" t="s">
        <v>94</v>
      </c>
      <c r="C564" t="s">
        <v>98</v>
      </c>
      <c r="D564">
        <v>3270</v>
      </c>
      <c r="E564" t="s">
        <v>74</v>
      </c>
      <c r="F564" t="s">
        <v>654</v>
      </c>
      <c r="G564" t="s">
        <v>46</v>
      </c>
      <c r="H564" t="s">
        <v>70</v>
      </c>
      <c r="I564" t="s">
        <v>88</v>
      </c>
      <c r="J564" t="s">
        <v>65</v>
      </c>
      <c r="K564" t="s">
        <v>76</v>
      </c>
      <c r="L564">
        <v>3</v>
      </c>
      <c r="M564">
        <v>90</v>
      </c>
      <c r="N564" t="s">
        <v>71</v>
      </c>
      <c r="O564">
        <v>20</v>
      </c>
    </row>
    <row r="565" spans="1:15">
      <c r="A565" s="4">
        <v>45876</v>
      </c>
      <c r="B565" t="s">
        <v>116</v>
      </c>
      <c r="C565" t="s">
        <v>68</v>
      </c>
      <c r="D565">
        <v>2210</v>
      </c>
      <c r="E565" t="s">
        <v>74</v>
      </c>
      <c r="F565" t="s">
        <v>655</v>
      </c>
      <c r="G565" t="s">
        <v>46</v>
      </c>
      <c r="H565" t="s">
        <v>55</v>
      </c>
      <c r="I565" t="s">
        <v>88</v>
      </c>
      <c r="J565" t="s">
        <v>57</v>
      </c>
      <c r="K565" t="s">
        <v>66</v>
      </c>
      <c r="L565">
        <v>3</v>
      </c>
      <c r="M565">
        <v>60</v>
      </c>
      <c r="N565" t="s">
        <v>71</v>
      </c>
      <c r="O565">
        <v>10</v>
      </c>
    </row>
    <row r="566" spans="1:15">
      <c r="A566" s="4">
        <v>45761</v>
      </c>
      <c r="B566" t="s">
        <v>90</v>
      </c>
      <c r="C566" t="s">
        <v>95</v>
      </c>
      <c r="D566">
        <v>2780</v>
      </c>
      <c r="E566" t="s">
        <v>53</v>
      </c>
      <c r="F566" t="s">
        <v>656</v>
      </c>
      <c r="G566" t="s">
        <v>45</v>
      </c>
      <c r="H566" t="s">
        <v>70</v>
      </c>
      <c r="I566" t="s">
        <v>92</v>
      </c>
      <c r="J566" t="s">
        <v>65</v>
      </c>
      <c r="K566" t="s">
        <v>66</v>
      </c>
      <c r="L566">
        <v>3</v>
      </c>
      <c r="M566">
        <v>60</v>
      </c>
      <c r="N566" t="s">
        <v>59</v>
      </c>
      <c r="O566">
        <v>20</v>
      </c>
    </row>
    <row r="567" spans="1:15">
      <c r="A567" s="4">
        <v>45676</v>
      </c>
      <c r="B567" t="s">
        <v>116</v>
      </c>
      <c r="C567" t="s">
        <v>52</v>
      </c>
      <c r="D567">
        <v>4090</v>
      </c>
      <c r="E567" t="s">
        <v>74</v>
      </c>
      <c r="F567" t="s">
        <v>657</v>
      </c>
      <c r="G567" t="s">
        <v>45</v>
      </c>
      <c r="H567" t="s">
        <v>55</v>
      </c>
      <c r="I567" t="s">
        <v>56</v>
      </c>
      <c r="J567" t="s">
        <v>57</v>
      </c>
      <c r="K567" t="s">
        <v>58</v>
      </c>
      <c r="L567">
        <v>4</v>
      </c>
      <c r="M567">
        <v>60</v>
      </c>
      <c r="N567" t="s">
        <v>93</v>
      </c>
      <c r="O567">
        <v>18</v>
      </c>
    </row>
    <row r="568" spans="1:15">
      <c r="A568" s="4">
        <v>45915</v>
      </c>
      <c r="B568" t="s">
        <v>109</v>
      </c>
      <c r="C568" t="s">
        <v>52</v>
      </c>
      <c r="D568">
        <v>1400</v>
      </c>
      <c r="E568" t="s">
        <v>74</v>
      </c>
      <c r="F568" t="s">
        <v>658</v>
      </c>
      <c r="G568" t="s">
        <v>45</v>
      </c>
      <c r="H568" t="s">
        <v>55</v>
      </c>
      <c r="I568" t="s">
        <v>92</v>
      </c>
      <c r="J568" t="s">
        <v>65</v>
      </c>
      <c r="K568" t="s">
        <v>66</v>
      </c>
      <c r="L568">
        <v>3</v>
      </c>
      <c r="M568">
        <v>30</v>
      </c>
      <c r="N568" t="s">
        <v>59</v>
      </c>
      <c r="O568">
        <v>18</v>
      </c>
    </row>
    <row r="569" spans="1:15">
      <c r="A569" s="4">
        <v>45921</v>
      </c>
      <c r="B569" t="s">
        <v>109</v>
      </c>
      <c r="C569" t="s">
        <v>61</v>
      </c>
      <c r="D569">
        <v>1330</v>
      </c>
      <c r="E569" t="s">
        <v>74</v>
      </c>
      <c r="F569" t="s">
        <v>659</v>
      </c>
      <c r="G569" t="s">
        <v>45</v>
      </c>
      <c r="H569" t="s">
        <v>70</v>
      </c>
      <c r="I569" t="s">
        <v>64</v>
      </c>
      <c r="J569" t="s">
        <v>65</v>
      </c>
      <c r="K569" t="s">
        <v>66</v>
      </c>
      <c r="L569">
        <v>3</v>
      </c>
      <c r="M569">
        <v>60</v>
      </c>
      <c r="N569" t="s">
        <v>93</v>
      </c>
      <c r="O569">
        <v>18</v>
      </c>
    </row>
    <row r="570" spans="1:15">
      <c r="A570" s="4">
        <v>45811</v>
      </c>
      <c r="B570" t="s">
        <v>90</v>
      </c>
      <c r="C570" t="s">
        <v>86</v>
      </c>
      <c r="D570">
        <v>4850</v>
      </c>
      <c r="E570" t="s">
        <v>62</v>
      </c>
      <c r="F570" t="s">
        <v>660</v>
      </c>
      <c r="G570" t="s">
        <v>45</v>
      </c>
      <c r="H570" t="s">
        <v>70</v>
      </c>
      <c r="I570" t="s">
        <v>92</v>
      </c>
      <c r="J570" t="s">
        <v>65</v>
      </c>
      <c r="K570" t="s">
        <v>76</v>
      </c>
      <c r="L570">
        <v>4</v>
      </c>
      <c r="M570">
        <v>60</v>
      </c>
      <c r="N570" t="s">
        <v>71</v>
      </c>
      <c r="O570">
        <v>9</v>
      </c>
    </row>
    <row r="571" spans="1:15">
      <c r="A571" s="4">
        <v>45681</v>
      </c>
      <c r="B571" t="s">
        <v>109</v>
      </c>
      <c r="C571" t="s">
        <v>68</v>
      </c>
      <c r="D571">
        <v>1970</v>
      </c>
      <c r="E571" t="s">
        <v>62</v>
      </c>
      <c r="F571" t="s">
        <v>661</v>
      </c>
      <c r="G571" t="s">
        <v>46</v>
      </c>
      <c r="H571" t="s">
        <v>70</v>
      </c>
      <c r="I571" t="s">
        <v>84</v>
      </c>
      <c r="J571" t="s">
        <v>65</v>
      </c>
      <c r="K571" t="s">
        <v>58</v>
      </c>
      <c r="L571">
        <v>4</v>
      </c>
      <c r="M571">
        <v>60</v>
      </c>
      <c r="N571" t="s">
        <v>93</v>
      </c>
      <c r="O571">
        <v>15</v>
      </c>
    </row>
    <row r="572" spans="1:15">
      <c r="A572" s="4">
        <v>45824</v>
      </c>
      <c r="B572" t="s">
        <v>90</v>
      </c>
      <c r="C572" t="s">
        <v>95</v>
      </c>
      <c r="D572">
        <v>1680</v>
      </c>
      <c r="E572" t="s">
        <v>74</v>
      </c>
      <c r="F572" t="s">
        <v>662</v>
      </c>
      <c r="G572" t="s">
        <v>45</v>
      </c>
      <c r="H572" t="s">
        <v>55</v>
      </c>
      <c r="I572" t="s">
        <v>79</v>
      </c>
      <c r="J572" t="s">
        <v>65</v>
      </c>
      <c r="K572" t="s">
        <v>76</v>
      </c>
      <c r="L572">
        <v>3</v>
      </c>
      <c r="M572">
        <v>60</v>
      </c>
      <c r="N572" t="s">
        <v>93</v>
      </c>
      <c r="O572">
        <v>5</v>
      </c>
    </row>
    <row r="573" spans="1:15">
      <c r="A573" s="4">
        <v>45713</v>
      </c>
      <c r="B573" t="s">
        <v>85</v>
      </c>
      <c r="C573" t="s">
        <v>114</v>
      </c>
      <c r="D573">
        <v>4800</v>
      </c>
      <c r="E573" t="s">
        <v>62</v>
      </c>
      <c r="F573" t="s">
        <v>663</v>
      </c>
      <c r="G573" t="s">
        <v>46</v>
      </c>
      <c r="H573" t="s">
        <v>55</v>
      </c>
      <c r="I573" t="s">
        <v>64</v>
      </c>
      <c r="J573" t="s">
        <v>65</v>
      </c>
      <c r="K573" t="s">
        <v>66</v>
      </c>
      <c r="L573">
        <v>3</v>
      </c>
      <c r="M573">
        <v>60</v>
      </c>
      <c r="N573" t="s">
        <v>93</v>
      </c>
      <c r="O573">
        <v>16</v>
      </c>
    </row>
    <row r="574" spans="1:15">
      <c r="A574" s="4">
        <v>46000</v>
      </c>
      <c r="B574" t="s">
        <v>85</v>
      </c>
      <c r="C574" t="s">
        <v>77</v>
      </c>
      <c r="D574">
        <v>2230</v>
      </c>
      <c r="E574" t="s">
        <v>74</v>
      </c>
      <c r="F574" t="s">
        <v>664</v>
      </c>
      <c r="G574" t="s">
        <v>46</v>
      </c>
      <c r="H574" t="s">
        <v>70</v>
      </c>
      <c r="I574" t="s">
        <v>92</v>
      </c>
      <c r="J574" t="s">
        <v>57</v>
      </c>
      <c r="K574" t="s">
        <v>76</v>
      </c>
      <c r="L574">
        <v>2</v>
      </c>
      <c r="M574">
        <v>60</v>
      </c>
      <c r="N574" t="s">
        <v>93</v>
      </c>
      <c r="O574">
        <v>7</v>
      </c>
    </row>
    <row r="575" spans="1:15">
      <c r="A575" s="4">
        <v>45873</v>
      </c>
      <c r="B575" t="s">
        <v>94</v>
      </c>
      <c r="C575" t="s">
        <v>73</v>
      </c>
      <c r="D575">
        <v>4650</v>
      </c>
      <c r="E575" t="s">
        <v>62</v>
      </c>
      <c r="F575" t="s">
        <v>665</v>
      </c>
      <c r="G575" t="s">
        <v>46</v>
      </c>
      <c r="H575" t="s">
        <v>55</v>
      </c>
      <c r="I575" t="s">
        <v>92</v>
      </c>
      <c r="J575" t="s">
        <v>57</v>
      </c>
      <c r="K575" t="s">
        <v>66</v>
      </c>
      <c r="L575">
        <v>4</v>
      </c>
      <c r="M575">
        <v>90</v>
      </c>
      <c r="N575" t="s">
        <v>71</v>
      </c>
      <c r="O575">
        <v>19</v>
      </c>
    </row>
    <row r="576" spans="1:15">
      <c r="A576" s="4">
        <v>45941</v>
      </c>
      <c r="B576" t="s">
        <v>90</v>
      </c>
      <c r="C576" t="s">
        <v>95</v>
      </c>
      <c r="D576">
        <v>2110</v>
      </c>
      <c r="E576" t="s">
        <v>74</v>
      </c>
      <c r="F576" t="s">
        <v>666</v>
      </c>
      <c r="G576" t="s">
        <v>46</v>
      </c>
      <c r="H576" t="s">
        <v>55</v>
      </c>
      <c r="I576" t="s">
        <v>64</v>
      </c>
      <c r="J576" t="s">
        <v>65</v>
      </c>
      <c r="K576" t="s">
        <v>58</v>
      </c>
      <c r="L576">
        <v>1</v>
      </c>
      <c r="M576">
        <v>60</v>
      </c>
      <c r="N576" t="s">
        <v>93</v>
      </c>
      <c r="O576">
        <v>16</v>
      </c>
    </row>
    <row r="577" spans="1:15">
      <c r="A577" s="4">
        <v>45791</v>
      </c>
      <c r="B577" t="s">
        <v>80</v>
      </c>
      <c r="C577" t="s">
        <v>52</v>
      </c>
      <c r="D577">
        <v>4860</v>
      </c>
      <c r="E577" t="s">
        <v>74</v>
      </c>
      <c r="F577" t="s">
        <v>667</v>
      </c>
      <c r="G577" t="s">
        <v>46</v>
      </c>
      <c r="H577" t="s">
        <v>70</v>
      </c>
      <c r="I577" t="s">
        <v>84</v>
      </c>
      <c r="J577" t="s">
        <v>57</v>
      </c>
      <c r="K577" t="s">
        <v>58</v>
      </c>
      <c r="L577">
        <v>2</v>
      </c>
      <c r="M577">
        <v>30</v>
      </c>
      <c r="N577" t="s">
        <v>93</v>
      </c>
      <c r="O577">
        <v>8</v>
      </c>
    </row>
    <row r="578" spans="1:15">
      <c r="A578" s="4">
        <v>45849</v>
      </c>
      <c r="B578" t="s">
        <v>80</v>
      </c>
      <c r="C578" t="s">
        <v>114</v>
      </c>
      <c r="D578">
        <v>410</v>
      </c>
      <c r="E578" t="s">
        <v>53</v>
      </c>
      <c r="F578" t="s">
        <v>668</v>
      </c>
      <c r="G578" t="s">
        <v>46</v>
      </c>
      <c r="H578" t="s">
        <v>70</v>
      </c>
      <c r="I578" t="s">
        <v>92</v>
      </c>
      <c r="J578" t="s">
        <v>65</v>
      </c>
      <c r="K578" t="s">
        <v>58</v>
      </c>
      <c r="L578">
        <v>2</v>
      </c>
      <c r="M578">
        <v>90</v>
      </c>
      <c r="N578" t="s">
        <v>59</v>
      </c>
      <c r="O578">
        <v>19</v>
      </c>
    </row>
    <row r="579" spans="1:15">
      <c r="A579" s="4">
        <v>45880</v>
      </c>
      <c r="B579" t="s">
        <v>94</v>
      </c>
      <c r="C579" t="s">
        <v>61</v>
      </c>
      <c r="D579">
        <v>480</v>
      </c>
      <c r="E579" t="s">
        <v>74</v>
      </c>
      <c r="F579" t="s">
        <v>669</v>
      </c>
      <c r="G579" t="s">
        <v>45</v>
      </c>
      <c r="H579" t="s">
        <v>70</v>
      </c>
      <c r="I579" t="s">
        <v>84</v>
      </c>
      <c r="J579" t="s">
        <v>65</v>
      </c>
      <c r="K579" t="s">
        <v>76</v>
      </c>
      <c r="L579">
        <v>1</v>
      </c>
      <c r="M579">
        <v>45</v>
      </c>
      <c r="N579" t="s">
        <v>59</v>
      </c>
      <c r="O579">
        <v>14</v>
      </c>
    </row>
    <row r="580" spans="1:15">
      <c r="A580" s="4">
        <v>45781</v>
      </c>
      <c r="B580" t="s">
        <v>90</v>
      </c>
      <c r="C580" t="s">
        <v>114</v>
      </c>
      <c r="D580">
        <v>2070</v>
      </c>
      <c r="E580" t="s">
        <v>74</v>
      </c>
      <c r="F580" t="s">
        <v>670</v>
      </c>
      <c r="G580" t="s">
        <v>46</v>
      </c>
      <c r="H580" t="s">
        <v>70</v>
      </c>
      <c r="I580" t="s">
        <v>92</v>
      </c>
      <c r="J580" t="s">
        <v>57</v>
      </c>
      <c r="K580" t="s">
        <v>66</v>
      </c>
      <c r="L580">
        <v>4</v>
      </c>
      <c r="M580">
        <v>30</v>
      </c>
      <c r="N580" t="s">
        <v>59</v>
      </c>
      <c r="O580">
        <v>3</v>
      </c>
    </row>
    <row r="581" spans="1:15">
      <c r="A581" s="4">
        <v>45769</v>
      </c>
      <c r="B581" t="s">
        <v>116</v>
      </c>
      <c r="C581" t="s">
        <v>86</v>
      </c>
      <c r="D581">
        <v>4880</v>
      </c>
      <c r="E581" t="s">
        <v>62</v>
      </c>
      <c r="F581" t="s">
        <v>671</v>
      </c>
      <c r="G581" t="s">
        <v>45</v>
      </c>
      <c r="H581" t="s">
        <v>55</v>
      </c>
      <c r="I581" t="s">
        <v>64</v>
      </c>
      <c r="J581" t="s">
        <v>65</v>
      </c>
      <c r="K581" t="s">
        <v>66</v>
      </c>
      <c r="L581">
        <v>3</v>
      </c>
      <c r="M581">
        <v>60</v>
      </c>
      <c r="N581" t="s">
        <v>71</v>
      </c>
      <c r="O581">
        <v>6</v>
      </c>
    </row>
    <row r="582" spans="1:15">
      <c r="A582" s="4">
        <v>45866</v>
      </c>
      <c r="B582" t="s">
        <v>67</v>
      </c>
      <c r="C582" t="s">
        <v>95</v>
      </c>
      <c r="D582">
        <v>2850</v>
      </c>
      <c r="E582" t="s">
        <v>53</v>
      </c>
      <c r="F582" t="s">
        <v>672</v>
      </c>
      <c r="G582" t="s">
        <v>46</v>
      </c>
      <c r="H582" t="s">
        <v>55</v>
      </c>
      <c r="I582" t="s">
        <v>56</v>
      </c>
      <c r="J582" t="s">
        <v>57</v>
      </c>
      <c r="K582" t="s">
        <v>76</v>
      </c>
      <c r="L582">
        <v>1</v>
      </c>
      <c r="M582">
        <v>30</v>
      </c>
      <c r="N582" t="s">
        <v>93</v>
      </c>
      <c r="O582">
        <v>18</v>
      </c>
    </row>
    <row r="583" spans="1:15">
      <c r="A583" s="4">
        <v>45681</v>
      </c>
      <c r="B583" t="s">
        <v>90</v>
      </c>
      <c r="C583" t="s">
        <v>68</v>
      </c>
      <c r="D583">
        <v>970</v>
      </c>
      <c r="E583" t="s">
        <v>62</v>
      </c>
      <c r="F583" t="s">
        <v>673</v>
      </c>
      <c r="G583" t="s">
        <v>45</v>
      </c>
      <c r="H583" t="s">
        <v>70</v>
      </c>
      <c r="I583" t="s">
        <v>56</v>
      </c>
      <c r="J583" t="s">
        <v>57</v>
      </c>
      <c r="K583" t="s">
        <v>76</v>
      </c>
      <c r="L583">
        <v>4</v>
      </c>
      <c r="M583">
        <v>30</v>
      </c>
      <c r="N583" t="s">
        <v>71</v>
      </c>
      <c r="O583">
        <v>19</v>
      </c>
    </row>
    <row r="584" spans="1:15">
      <c r="A584" s="4">
        <v>45769</v>
      </c>
      <c r="B584" t="s">
        <v>101</v>
      </c>
      <c r="C584" t="s">
        <v>77</v>
      </c>
      <c r="D584">
        <v>4380</v>
      </c>
      <c r="E584" t="s">
        <v>74</v>
      </c>
      <c r="F584" t="s">
        <v>674</v>
      </c>
      <c r="G584" t="s">
        <v>46</v>
      </c>
      <c r="H584" t="s">
        <v>55</v>
      </c>
      <c r="I584" t="s">
        <v>84</v>
      </c>
      <c r="J584" t="s">
        <v>65</v>
      </c>
      <c r="K584" t="s">
        <v>66</v>
      </c>
      <c r="L584">
        <v>4</v>
      </c>
      <c r="M584">
        <v>45</v>
      </c>
      <c r="N584" t="s">
        <v>59</v>
      </c>
      <c r="O584">
        <v>11</v>
      </c>
    </row>
    <row r="585" spans="1:15">
      <c r="A585" s="4">
        <v>45987</v>
      </c>
      <c r="B585" t="s">
        <v>80</v>
      </c>
      <c r="C585" t="s">
        <v>61</v>
      </c>
      <c r="D585">
        <v>3550</v>
      </c>
      <c r="E585" t="s">
        <v>62</v>
      </c>
      <c r="F585" t="s">
        <v>675</v>
      </c>
      <c r="G585" t="s">
        <v>45</v>
      </c>
      <c r="H585" t="s">
        <v>70</v>
      </c>
      <c r="I585" t="s">
        <v>84</v>
      </c>
      <c r="J585" t="s">
        <v>57</v>
      </c>
      <c r="K585" t="s">
        <v>76</v>
      </c>
      <c r="L585">
        <v>3</v>
      </c>
      <c r="M585">
        <v>30</v>
      </c>
      <c r="N585" t="s">
        <v>71</v>
      </c>
      <c r="O585">
        <v>5</v>
      </c>
    </row>
    <row r="586" spans="1:15">
      <c r="A586" s="4">
        <v>46019</v>
      </c>
      <c r="B586" t="s">
        <v>109</v>
      </c>
      <c r="C586" t="s">
        <v>77</v>
      </c>
      <c r="D586">
        <v>3630</v>
      </c>
      <c r="E586" t="s">
        <v>53</v>
      </c>
      <c r="F586" t="s">
        <v>676</v>
      </c>
      <c r="G586" t="s">
        <v>46</v>
      </c>
      <c r="H586" t="s">
        <v>70</v>
      </c>
      <c r="I586" t="s">
        <v>56</v>
      </c>
      <c r="J586" t="s">
        <v>65</v>
      </c>
      <c r="K586" t="s">
        <v>66</v>
      </c>
      <c r="L586">
        <v>4</v>
      </c>
      <c r="M586">
        <v>60</v>
      </c>
      <c r="N586" t="s">
        <v>71</v>
      </c>
      <c r="O586">
        <v>6</v>
      </c>
    </row>
    <row r="587" spans="1:15">
      <c r="A587" s="4">
        <v>45997</v>
      </c>
      <c r="B587" t="s">
        <v>67</v>
      </c>
      <c r="C587" t="s">
        <v>95</v>
      </c>
      <c r="D587">
        <v>400</v>
      </c>
      <c r="E587" t="s">
        <v>53</v>
      </c>
      <c r="F587" t="s">
        <v>677</v>
      </c>
      <c r="G587" t="s">
        <v>46</v>
      </c>
      <c r="H587" t="s">
        <v>55</v>
      </c>
      <c r="I587" t="s">
        <v>92</v>
      </c>
      <c r="J587" t="s">
        <v>57</v>
      </c>
      <c r="K587" t="s">
        <v>66</v>
      </c>
      <c r="L587">
        <v>3</v>
      </c>
      <c r="M587">
        <v>30</v>
      </c>
      <c r="N587" t="s">
        <v>71</v>
      </c>
      <c r="O587">
        <v>15</v>
      </c>
    </row>
    <row r="588" spans="1:15">
      <c r="A588" s="4">
        <v>46019</v>
      </c>
      <c r="B588" t="s">
        <v>72</v>
      </c>
      <c r="C588" t="s">
        <v>77</v>
      </c>
      <c r="D588">
        <v>4990</v>
      </c>
      <c r="E588" t="s">
        <v>62</v>
      </c>
      <c r="F588" t="s">
        <v>678</v>
      </c>
      <c r="G588" t="s">
        <v>46</v>
      </c>
      <c r="H588" t="s">
        <v>55</v>
      </c>
      <c r="I588" t="s">
        <v>64</v>
      </c>
      <c r="J588" t="s">
        <v>65</v>
      </c>
      <c r="K588" t="s">
        <v>76</v>
      </c>
      <c r="L588">
        <v>3</v>
      </c>
      <c r="M588">
        <v>45</v>
      </c>
      <c r="N588" t="s">
        <v>71</v>
      </c>
      <c r="O588">
        <v>12</v>
      </c>
    </row>
    <row r="589" spans="1:15">
      <c r="A589" s="4">
        <v>45943</v>
      </c>
      <c r="B589" t="s">
        <v>72</v>
      </c>
      <c r="C589" t="s">
        <v>114</v>
      </c>
      <c r="D589">
        <v>1040</v>
      </c>
      <c r="E589" t="s">
        <v>53</v>
      </c>
      <c r="F589" t="s">
        <v>679</v>
      </c>
      <c r="G589" t="s">
        <v>45</v>
      </c>
      <c r="H589" t="s">
        <v>55</v>
      </c>
      <c r="I589" t="s">
        <v>56</v>
      </c>
      <c r="J589" t="s">
        <v>57</v>
      </c>
      <c r="K589" t="s">
        <v>66</v>
      </c>
      <c r="L589">
        <v>3</v>
      </c>
      <c r="M589">
        <v>90</v>
      </c>
      <c r="N589" t="s">
        <v>93</v>
      </c>
      <c r="O589">
        <v>12</v>
      </c>
    </row>
    <row r="590" spans="1:15">
      <c r="A590" s="4">
        <v>45860</v>
      </c>
      <c r="B590" t="s">
        <v>94</v>
      </c>
      <c r="C590" t="s">
        <v>81</v>
      </c>
      <c r="D590">
        <v>4180</v>
      </c>
      <c r="E590" t="s">
        <v>53</v>
      </c>
      <c r="F590" t="s">
        <v>680</v>
      </c>
      <c r="G590" t="s">
        <v>45</v>
      </c>
      <c r="H590" t="s">
        <v>70</v>
      </c>
      <c r="I590" t="s">
        <v>64</v>
      </c>
      <c r="J590" t="s">
        <v>57</v>
      </c>
      <c r="K590" t="s">
        <v>76</v>
      </c>
      <c r="L590">
        <v>5</v>
      </c>
      <c r="M590">
        <v>45</v>
      </c>
      <c r="N590" t="s">
        <v>59</v>
      </c>
      <c r="O590">
        <v>3</v>
      </c>
    </row>
    <row r="591" spans="1:15">
      <c r="A591" s="4">
        <v>45984</v>
      </c>
      <c r="B591" t="s">
        <v>94</v>
      </c>
      <c r="C591" t="s">
        <v>98</v>
      </c>
      <c r="D591">
        <v>4960</v>
      </c>
      <c r="E591" t="s">
        <v>53</v>
      </c>
      <c r="F591" t="s">
        <v>681</v>
      </c>
      <c r="G591" t="s">
        <v>45</v>
      </c>
      <c r="H591" t="s">
        <v>70</v>
      </c>
      <c r="I591" t="s">
        <v>84</v>
      </c>
      <c r="J591" t="s">
        <v>57</v>
      </c>
      <c r="K591" t="s">
        <v>66</v>
      </c>
      <c r="L591">
        <v>3</v>
      </c>
      <c r="M591">
        <v>60</v>
      </c>
      <c r="N591" t="s">
        <v>59</v>
      </c>
      <c r="O591">
        <v>14</v>
      </c>
    </row>
    <row r="592" spans="1:15">
      <c r="A592" s="4">
        <v>45990</v>
      </c>
      <c r="B592" t="s">
        <v>101</v>
      </c>
      <c r="C592" t="s">
        <v>68</v>
      </c>
      <c r="D592">
        <v>3600</v>
      </c>
      <c r="E592" t="s">
        <v>62</v>
      </c>
      <c r="F592" t="s">
        <v>682</v>
      </c>
      <c r="G592" t="s">
        <v>45</v>
      </c>
      <c r="H592" t="s">
        <v>55</v>
      </c>
      <c r="I592" t="s">
        <v>88</v>
      </c>
      <c r="J592" t="s">
        <v>65</v>
      </c>
      <c r="K592" t="s">
        <v>66</v>
      </c>
      <c r="L592">
        <v>2</v>
      </c>
      <c r="M592">
        <v>90</v>
      </c>
      <c r="N592" t="s">
        <v>59</v>
      </c>
      <c r="O592">
        <v>18</v>
      </c>
    </row>
    <row r="593" spans="1:15">
      <c r="A593" s="4">
        <v>45779</v>
      </c>
      <c r="B593" t="s">
        <v>101</v>
      </c>
      <c r="C593" t="s">
        <v>95</v>
      </c>
      <c r="D593">
        <v>1020</v>
      </c>
      <c r="E593" t="s">
        <v>74</v>
      </c>
      <c r="F593" t="s">
        <v>683</v>
      </c>
      <c r="G593" t="s">
        <v>45</v>
      </c>
      <c r="H593" t="s">
        <v>55</v>
      </c>
      <c r="I593" t="s">
        <v>56</v>
      </c>
      <c r="J593" t="s">
        <v>65</v>
      </c>
      <c r="K593" t="s">
        <v>66</v>
      </c>
      <c r="L593">
        <v>1</v>
      </c>
      <c r="M593">
        <v>60</v>
      </c>
      <c r="N593" t="s">
        <v>93</v>
      </c>
      <c r="O593">
        <v>6</v>
      </c>
    </row>
    <row r="594" spans="1:15">
      <c r="A594" s="4">
        <v>45892</v>
      </c>
      <c r="B594" t="s">
        <v>101</v>
      </c>
      <c r="C594" t="s">
        <v>81</v>
      </c>
      <c r="D594">
        <v>3220</v>
      </c>
      <c r="E594" t="s">
        <v>62</v>
      </c>
      <c r="F594" t="s">
        <v>684</v>
      </c>
      <c r="G594" t="s">
        <v>46</v>
      </c>
      <c r="H594" t="s">
        <v>55</v>
      </c>
      <c r="I594" t="s">
        <v>64</v>
      </c>
      <c r="J594" t="s">
        <v>65</v>
      </c>
      <c r="K594" t="s">
        <v>58</v>
      </c>
      <c r="L594">
        <v>4</v>
      </c>
      <c r="M594">
        <v>45</v>
      </c>
      <c r="N594" t="s">
        <v>59</v>
      </c>
      <c r="O594">
        <v>4</v>
      </c>
    </row>
    <row r="595" spans="1:15">
      <c r="A595" s="4">
        <v>45911</v>
      </c>
      <c r="B595" t="s">
        <v>94</v>
      </c>
      <c r="C595" t="s">
        <v>95</v>
      </c>
      <c r="D595">
        <v>4260</v>
      </c>
      <c r="E595" t="s">
        <v>74</v>
      </c>
      <c r="F595" t="s">
        <v>685</v>
      </c>
      <c r="G595" t="s">
        <v>46</v>
      </c>
      <c r="H595" t="s">
        <v>55</v>
      </c>
      <c r="I595" t="s">
        <v>88</v>
      </c>
      <c r="J595" t="s">
        <v>65</v>
      </c>
      <c r="K595" t="s">
        <v>66</v>
      </c>
      <c r="L595">
        <v>4</v>
      </c>
      <c r="M595">
        <v>30</v>
      </c>
      <c r="N595" t="s">
        <v>71</v>
      </c>
      <c r="O595">
        <v>6</v>
      </c>
    </row>
    <row r="596" spans="1:15">
      <c r="A596" s="4">
        <v>45795</v>
      </c>
      <c r="B596" t="s">
        <v>67</v>
      </c>
      <c r="C596" t="s">
        <v>61</v>
      </c>
      <c r="D596">
        <v>2620</v>
      </c>
      <c r="E596" t="s">
        <v>74</v>
      </c>
      <c r="F596" t="s">
        <v>686</v>
      </c>
      <c r="G596" t="s">
        <v>46</v>
      </c>
      <c r="H596" t="s">
        <v>70</v>
      </c>
      <c r="I596" t="s">
        <v>88</v>
      </c>
      <c r="J596" t="s">
        <v>57</v>
      </c>
      <c r="K596" t="s">
        <v>58</v>
      </c>
      <c r="L596">
        <v>2</v>
      </c>
      <c r="M596">
        <v>45</v>
      </c>
      <c r="N596" t="s">
        <v>71</v>
      </c>
      <c r="O596">
        <v>8</v>
      </c>
    </row>
    <row r="597" spans="1:15">
      <c r="A597" s="4">
        <v>45919</v>
      </c>
      <c r="B597" t="s">
        <v>85</v>
      </c>
      <c r="C597" t="s">
        <v>86</v>
      </c>
      <c r="D597">
        <v>510</v>
      </c>
      <c r="E597" t="s">
        <v>62</v>
      </c>
      <c r="F597" t="s">
        <v>687</v>
      </c>
      <c r="G597" t="s">
        <v>45</v>
      </c>
      <c r="H597" t="s">
        <v>55</v>
      </c>
      <c r="I597" t="s">
        <v>92</v>
      </c>
      <c r="J597" t="s">
        <v>65</v>
      </c>
      <c r="K597" t="s">
        <v>76</v>
      </c>
      <c r="L597">
        <v>4</v>
      </c>
      <c r="M597">
        <v>60</v>
      </c>
      <c r="N597" t="s">
        <v>93</v>
      </c>
      <c r="O597">
        <v>12</v>
      </c>
    </row>
    <row r="598" spans="1:15">
      <c r="A598" s="4">
        <v>45758</v>
      </c>
      <c r="B598" t="s">
        <v>72</v>
      </c>
      <c r="C598" t="s">
        <v>61</v>
      </c>
      <c r="D598">
        <v>700</v>
      </c>
      <c r="E598" t="s">
        <v>62</v>
      </c>
      <c r="F598" t="s">
        <v>688</v>
      </c>
      <c r="G598" t="s">
        <v>45</v>
      </c>
      <c r="H598" t="s">
        <v>70</v>
      </c>
      <c r="I598" t="s">
        <v>64</v>
      </c>
      <c r="J598" t="s">
        <v>57</v>
      </c>
      <c r="K598" t="s">
        <v>66</v>
      </c>
      <c r="L598">
        <v>3</v>
      </c>
      <c r="M598">
        <v>90</v>
      </c>
      <c r="N598" t="s">
        <v>71</v>
      </c>
      <c r="O598">
        <v>14</v>
      </c>
    </row>
    <row r="599" spans="1:15">
      <c r="A599" s="4">
        <v>46008</v>
      </c>
      <c r="B599" t="s">
        <v>109</v>
      </c>
      <c r="C599" t="s">
        <v>61</v>
      </c>
      <c r="D599">
        <v>4680</v>
      </c>
      <c r="E599" t="s">
        <v>62</v>
      </c>
      <c r="F599" t="s">
        <v>689</v>
      </c>
      <c r="G599" t="s">
        <v>46</v>
      </c>
      <c r="H599" t="s">
        <v>70</v>
      </c>
      <c r="I599" t="s">
        <v>92</v>
      </c>
      <c r="J599" t="s">
        <v>57</v>
      </c>
      <c r="K599" t="s">
        <v>76</v>
      </c>
      <c r="L599">
        <v>5</v>
      </c>
      <c r="M599">
        <v>60</v>
      </c>
      <c r="N599" t="s">
        <v>71</v>
      </c>
      <c r="O599">
        <v>6</v>
      </c>
    </row>
    <row r="600" spans="1:15">
      <c r="A600" s="4">
        <v>45684</v>
      </c>
      <c r="B600" t="s">
        <v>109</v>
      </c>
      <c r="C600" t="s">
        <v>114</v>
      </c>
      <c r="D600">
        <v>3040</v>
      </c>
      <c r="E600" t="s">
        <v>74</v>
      </c>
      <c r="F600" t="s">
        <v>690</v>
      </c>
      <c r="G600" t="s">
        <v>46</v>
      </c>
      <c r="H600" t="s">
        <v>70</v>
      </c>
      <c r="I600" t="s">
        <v>79</v>
      </c>
      <c r="J600" t="s">
        <v>65</v>
      </c>
      <c r="K600" t="s">
        <v>76</v>
      </c>
      <c r="L600">
        <v>3</v>
      </c>
      <c r="M600">
        <v>45</v>
      </c>
      <c r="N600" t="s">
        <v>59</v>
      </c>
      <c r="O600">
        <v>11</v>
      </c>
    </row>
    <row r="601" spans="1:15">
      <c r="A601" s="4">
        <v>45995</v>
      </c>
      <c r="B601" t="s">
        <v>67</v>
      </c>
      <c r="C601" t="s">
        <v>81</v>
      </c>
      <c r="D601">
        <v>1180</v>
      </c>
      <c r="E601" t="s">
        <v>74</v>
      </c>
      <c r="F601" t="s">
        <v>691</v>
      </c>
      <c r="G601" t="s">
        <v>45</v>
      </c>
      <c r="H601" t="s">
        <v>70</v>
      </c>
      <c r="I601" t="s">
        <v>79</v>
      </c>
      <c r="J601" t="s">
        <v>65</v>
      </c>
      <c r="K601" t="s">
        <v>66</v>
      </c>
      <c r="L601">
        <v>3</v>
      </c>
      <c r="M601">
        <v>45</v>
      </c>
      <c r="N601" t="s">
        <v>93</v>
      </c>
      <c r="O601">
        <v>18</v>
      </c>
    </row>
    <row r="602" spans="1:15">
      <c r="A602" s="4">
        <v>46003</v>
      </c>
      <c r="B602" t="s">
        <v>94</v>
      </c>
      <c r="C602" t="s">
        <v>98</v>
      </c>
      <c r="D602">
        <v>3830</v>
      </c>
      <c r="E602" t="s">
        <v>62</v>
      </c>
      <c r="F602" t="s">
        <v>692</v>
      </c>
      <c r="G602" t="s">
        <v>45</v>
      </c>
      <c r="H602" t="s">
        <v>70</v>
      </c>
      <c r="I602" t="s">
        <v>79</v>
      </c>
      <c r="J602" t="s">
        <v>65</v>
      </c>
      <c r="K602" t="s">
        <v>66</v>
      </c>
      <c r="L602">
        <v>2</v>
      </c>
      <c r="M602">
        <v>45</v>
      </c>
      <c r="N602" t="s">
        <v>71</v>
      </c>
      <c r="O602">
        <v>11</v>
      </c>
    </row>
    <row r="603" spans="1:15">
      <c r="A603" s="4">
        <v>45769</v>
      </c>
      <c r="B603" t="s">
        <v>67</v>
      </c>
      <c r="C603" t="s">
        <v>86</v>
      </c>
      <c r="D603">
        <v>2010</v>
      </c>
      <c r="E603" t="s">
        <v>53</v>
      </c>
      <c r="F603" t="s">
        <v>693</v>
      </c>
      <c r="G603" t="s">
        <v>45</v>
      </c>
      <c r="H603" t="s">
        <v>70</v>
      </c>
      <c r="I603" t="s">
        <v>79</v>
      </c>
      <c r="J603" t="s">
        <v>57</v>
      </c>
      <c r="K603" t="s">
        <v>58</v>
      </c>
      <c r="L603">
        <v>1</v>
      </c>
      <c r="M603">
        <v>45</v>
      </c>
      <c r="N603" t="s">
        <v>93</v>
      </c>
      <c r="O603">
        <v>16</v>
      </c>
    </row>
    <row r="604" spans="1:15">
      <c r="A604" s="4">
        <v>45899</v>
      </c>
      <c r="B604" t="s">
        <v>101</v>
      </c>
      <c r="C604" t="s">
        <v>61</v>
      </c>
      <c r="D604">
        <v>2300</v>
      </c>
      <c r="E604" t="s">
        <v>74</v>
      </c>
      <c r="F604" t="s">
        <v>694</v>
      </c>
      <c r="G604" t="s">
        <v>46</v>
      </c>
      <c r="H604" t="s">
        <v>70</v>
      </c>
      <c r="I604" t="s">
        <v>88</v>
      </c>
      <c r="J604" t="s">
        <v>65</v>
      </c>
      <c r="K604" t="s">
        <v>76</v>
      </c>
      <c r="L604">
        <v>3</v>
      </c>
      <c r="M604">
        <v>30</v>
      </c>
      <c r="N604" t="s">
        <v>71</v>
      </c>
      <c r="O604">
        <v>16</v>
      </c>
    </row>
    <row r="605" spans="1:15">
      <c r="A605" s="4">
        <v>45937</v>
      </c>
      <c r="B605" t="s">
        <v>72</v>
      </c>
      <c r="C605" t="s">
        <v>61</v>
      </c>
      <c r="D605">
        <v>3700</v>
      </c>
      <c r="E605" t="s">
        <v>74</v>
      </c>
      <c r="F605" t="s">
        <v>695</v>
      </c>
      <c r="G605" t="s">
        <v>45</v>
      </c>
      <c r="H605" t="s">
        <v>70</v>
      </c>
      <c r="I605" t="s">
        <v>92</v>
      </c>
      <c r="J605" t="s">
        <v>65</v>
      </c>
      <c r="K605" t="s">
        <v>76</v>
      </c>
      <c r="L605">
        <v>3</v>
      </c>
      <c r="M605">
        <v>45</v>
      </c>
      <c r="N605" t="s">
        <v>59</v>
      </c>
      <c r="O605">
        <v>17</v>
      </c>
    </row>
    <row r="606" spans="1:15">
      <c r="A606" s="4">
        <v>45678</v>
      </c>
      <c r="B606" t="s">
        <v>85</v>
      </c>
      <c r="C606" t="s">
        <v>52</v>
      </c>
      <c r="D606">
        <v>4200</v>
      </c>
      <c r="E606" t="s">
        <v>62</v>
      </c>
      <c r="F606" t="s">
        <v>696</v>
      </c>
      <c r="G606" t="s">
        <v>46</v>
      </c>
      <c r="H606" t="s">
        <v>70</v>
      </c>
      <c r="I606" t="s">
        <v>92</v>
      </c>
      <c r="J606" t="s">
        <v>57</v>
      </c>
      <c r="K606" t="s">
        <v>58</v>
      </c>
      <c r="L606">
        <v>3</v>
      </c>
      <c r="M606">
        <v>45</v>
      </c>
      <c r="N606" t="s">
        <v>93</v>
      </c>
      <c r="O606">
        <v>20</v>
      </c>
    </row>
    <row r="607" spans="1:15">
      <c r="A607" s="4">
        <v>45705</v>
      </c>
      <c r="B607" t="s">
        <v>85</v>
      </c>
      <c r="C607" t="s">
        <v>95</v>
      </c>
      <c r="D607">
        <v>1820</v>
      </c>
      <c r="E607" t="s">
        <v>74</v>
      </c>
      <c r="F607" t="s">
        <v>697</v>
      </c>
      <c r="G607" t="s">
        <v>45</v>
      </c>
      <c r="H607" t="s">
        <v>70</v>
      </c>
      <c r="I607" t="s">
        <v>56</v>
      </c>
      <c r="J607" t="s">
        <v>65</v>
      </c>
      <c r="K607" t="s">
        <v>76</v>
      </c>
      <c r="L607">
        <v>3</v>
      </c>
      <c r="M607">
        <v>45</v>
      </c>
      <c r="N607" t="s">
        <v>71</v>
      </c>
      <c r="O607">
        <v>9</v>
      </c>
    </row>
    <row r="608" spans="1:15">
      <c r="A608" s="4">
        <v>45677</v>
      </c>
      <c r="B608" t="s">
        <v>80</v>
      </c>
      <c r="C608" t="s">
        <v>81</v>
      </c>
      <c r="D608">
        <v>1260</v>
      </c>
      <c r="E608" t="s">
        <v>74</v>
      </c>
      <c r="F608" t="s">
        <v>698</v>
      </c>
      <c r="G608" t="s">
        <v>45</v>
      </c>
      <c r="H608" t="s">
        <v>70</v>
      </c>
      <c r="I608" t="s">
        <v>56</v>
      </c>
      <c r="J608" t="s">
        <v>65</v>
      </c>
      <c r="K608" t="s">
        <v>76</v>
      </c>
      <c r="L608">
        <v>3</v>
      </c>
      <c r="M608">
        <v>30</v>
      </c>
      <c r="N608" t="s">
        <v>93</v>
      </c>
      <c r="O608">
        <v>3</v>
      </c>
    </row>
    <row r="609" spans="1:15">
      <c r="A609" s="4">
        <v>45869</v>
      </c>
      <c r="B609" t="s">
        <v>109</v>
      </c>
      <c r="C609" t="s">
        <v>95</v>
      </c>
      <c r="D609">
        <v>3970</v>
      </c>
      <c r="E609" t="s">
        <v>62</v>
      </c>
      <c r="F609" t="s">
        <v>699</v>
      </c>
      <c r="G609" t="s">
        <v>46</v>
      </c>
      <c r="H609" t="s">
        <v>70</v>
      </c>
      <c r="I609" t="s">
        <v>56</v>
      </c>
      <c r="J609" t="s">
        <v>65</v>
      </c>
      <c r="K609" t="s">
        <v>76</v>
      </c>
      <c r="L609">
        <v>2</v>
      </c>
      <c r="M609">
        <v>30</v>
      </c>
      <c r="N609" t="s">
        <v>93</v>
      </c>
      <c r="O609">
        <v>20</v>
      </c>
    </row>
    <row r="610" spans="1:15">
      <c r="A610" s="4">
        <v>45995</v>
      </c>
      <c r="B610" t="s">
        <v>80</v>
      </c>
      <c r="C610" t="s">
        <v>86</v>
      </c>
      <c r="D610">
        <v>3900</v>
      </c>
      <c r="E610" t="s">
        <v>74</v>
      </c>
      <c r="F610" t="s">
        <v>700</v>
      </c>
      <c r="G610" t="s">
        <v>45</v>
      </c>
      <c r="H610" t="s">
        <v>55</v>
      </c>
      <c r="I610" t="s">
        <v>64</v>
      </c>
      <c r="J610" t="s">
        <v>65</v>
      </c>
      <c r="K610" t="s">
        <v>76</v>
      </c>
      <c r="L610">
        <v>2</v>
      </c>
      <c r="M610">
        <v>60</v>
      </c>
      <c r="N610" t="s">
        <v>59</v>
      </c>
      <c r="O610">
        <v>8</v>
      </c>
    </row>
    <row r="611" spans="1:15">
      <c r="A611" s="4">
        <v>45788</v>
      </c>
      <c r="B611" t="s">
        <v>94</v>
      </c>
      <c r="C611" t="s">
        <v>114</v>
      </c>
      <c r="D611">
        <v>990</v>
      </c>
      <c r="E611" t="s">
        <v>74</v>
      </c>
      <c r="F611" t="s">
        <v>701</v>
      </c>
      <c r="G611" t="s">
        <v>45</v>
      </c>
      <c r="H611" t="s">
        <v>70</v>
      </c>
      <c r="I611" t="s">
        <v>79</v>
      </c>
      <c r="J611" t="s">
        <v>65</v>
      </c>
      <c r="K611" t="s">
        <v>66</v>
      </c>
      <c r="L611">
        <v>3</v>
      </c>
      <c r="M611">
        <v>60</v>
      </c>
      <c r="N611" t="s">
        <v>59</v>
      </c>
      <c r="O611">
        <v>11</v>
      </c>
    </row>
    <row r="612" spans="1:15">
      <c r="A612" s="4">
        <v>45700</v>
      </c>
      <c r="B612" t="s">
        <v>80</v>
      </c>
      <c r="C612" t="s">
        <v>86</v>
      </c>
      <c r="D612">
        <v>3360</v>
      </c>
      <c r="E612" t="s">
        <v>53</v>
      </c>
      <c r="F612" t="s">
        <v>702</v>
      </c>
      <c r="G612" t="s">
        <v>46</v>
      </c>
      <c r="H612" t="s">
        <v>55</v>
      </c>
      <c r="I612" t="s">
        <v>88</v>
      </c>
      <c r="J612" t="s">
        <v>57</v>
      </c>
      <c r="K612" t="s">
        <v>58</v>
      </c>
      <c r="L612">
        <v>2</v>
      </c>
      <c r="M612">
        <v>90</v>
      </c>
      <c r="N612" t="s">
        <v>93</v>
      </c>
      <c r="O612">
        <v>13</v>
      </c>
    </row>
    <row r="613" spans="1:15">
      <c r="A613" s="4">
        <v>46011</v>
      </c>
      <c r="B613" t="s">
        <v>51</v>
      </c>
      <c r="C613" t="s">
        <v>52</v>
      </c>
      <c r="D613">
        <v>1470</v>
      </c>
      <c r="E613" t="s">
        <v>74</v>
      </c>
      <c r="F613" t="s">
        <v>703</v>
      </c>
      <c r="G613" t="s">
        <v>45</v>
      </c>
      <c r="H613" t="s">
        <v>70</v>
      </c>
      <c r="I613" t="s">
        <v>92</v>
      </c>
      <c r="J613" t="s">
        <v>57</v>
      </c>
      <c r="K613" t="s">
        <v>58</v>
      </c>
      <c r="L613">
        <v>5</v>
      </c>
      <c r="M613">
        <v>45</v>
      </c>
      <c r="N613" t="s">
        <v>93</v>
      </c>
      <c r="O613">
        <v>3</v>
      </c>
    </row>
    <row r="614" spans="1:15">
      <c r="A614" s="4">
        <v>45982</v>
      </c>
      <c r="B614" t="s">
        <v>101</v>
      </c>
      <c r="C614" t="s">
        <v>68</v>
      </c>
      <c r="D614">
        <v>1800</v>
      </c>
      <c r="E614" t="s">
        <v>74</v>
      </c>
      <c r="F614" t="s">
        <v>704</v>
      </c>
      <c r="G614" t="s">
        <v>45</v>
      </c>
      <c r="H614" t="s">
        <v>55</v>
      </c>
      <c r="I614" t="s">
        <v>56</v>
      </c>
      <c r="J614" t="s">
        <v>65</v>
      </c>
      <c r="K614" t="s">
        <v>58</v>
      </c>
      <c r="L614">
        <v>3</v>
      </c>
      <c r="M614">
        <v>90</v>
      </c>
      <c r="N614" t="s">
        <v>59</v>
      </c>
      <c r="O614">
        <v>4</v>
      </c>
    </row>
    <row r="615" spans="1:15">
      <c r="A615" s="4">
        <v>45955</v>
      </c>
      <c r="B615" t="s">
        <v>90</v>
      </c>
      <c r="C615" t="s">
        <v>95</v>
      </c>
      <c r="D615">
        <v>1920</v>
      </c>
      <c r="E615" t="s">
        <v>53</v>
      </c>
      <c r="F615" t="s">
        <v>705</v>
      </c>
      <c r="G615" t="s">
        <v>45</v>
      </c>
      <c r="H615" t="s">
        <v>70</v>
      </c>
      <c r="I615" t="s">
        <v>92</v>
      </c>
      <c r="J615" t="s">
        <v>57</v>
      </c>
      <c r="K615" t="s">
        <v>58</v>
      </c>
      <c r="L615">
        <v>4</v>
      </c>
      <c r="M615">
        <v>60</v>
      </c>
      <c r="N615" t="s">
        <v>71</v>
      </c>
      <c r="O615">
        <v>19</v>
      </c>
    </row>
    <row r="616" spans="1:15">
      <c r="A616" s="4">
        <v>45940</v>
      </c>
      <c r="B616" t="s">
        <v>109</v>
      </c>
      <c r="C616" t="s">
        <v>73</v>
      </c>
      <c r="D616">
        <v>4560</v>
      </c>
      <c r="E616" t="s">
        <v>53</v>
      </c>
      <c r="F616" t="s">
        <v>706</v>
      </c>
      <c r="G616" t="s">
        <v>46</v>
      </c>
      <c r="H616" t="s">
        <v>55</v>
      </c>
      <c r="I616" t="s">
        <v>92</v>
      </c>
      <c r="J616" t="s">
        <v>57</v>
      </c>
      <c r="K616" t="s">
        <v>66</v>
      </c>
      <c r="L616">
        <v>2</v>
      </c>
      <c r="M616">
        <v>45</v>
      </c>
      <c r="N616" t="s">
        <v>59</v>
      </c>
      <c r="O616">
        <v>11</v>
      </c>
    </row>
    <row r="617" spans="1:15">
      <c r="A617" s="4">
        <v>45790</v>
      </c>
      <c r="B617" t="s">
        <v>97</v>
      </c>
      <c r="C617" t="s">
        <v>98</v>
      </c>
      <c r="D617">
        <v>3420</v>
      </c>
      <c r="E617" t="s">
        <v>74</v>
      </c>
      <c r="F617" t="s">
        <v>707</v>
      </c>
      <c r="G617" t="s">
        <v>46</v>
      </c>
      <c r="H617" t="s">
        <v>70</v>
      </c>
      <c r="I617" t="s">
        <v>84</v>
      </c>
      <c r="J617" t="s">
        <v>57</v>
      </c>
      <c r="K617" t="s">
        <v>66</v>
      </c>
      <c r="L617">
        <v>3</v>
      </c>
      <c r="M617">
        <v>90</v>
      </c>
      <c r="N617" t="s">
        <v>93</v>
      </c>
      <c r="O617">
        <v>6</v>
      </c>
    </row>
    <row r="618" spans="1:15">
      <c r="A618" s="4">
        <v>45993</v>
      </c>
      <c r="B618" t="s">
        <v>90</v>
      </c>
      <c r="C618" t="s">
        <v>95</v>
      </c>
      <c r="D618">
        <v>1850</v>
      </c>
      <c r="E618" t="s">
        <v>74</v>
      </c>
      <c r="F618" t="s">
        <v>708</v>
      </c>
      <c r="G618" t="s">
        <v>46</v>
      </c>
      <c r="H618" t="s">
        <v>55</v>
      </c>
      <c r="I618" t="s">
        <v>84</v>
      </c>
      <c r="J618" t="s">
        <v>57</v>
      </c>
      <c r="K618" t="s">
        <v>76</v>
      </c>
      <c r="L618">
        <v>1</v>
      </c>
      <c r="M618">
        <v>90</v>
      </c>
      <c r="N618" t="s">
        <v>71</v>
      </c>
      <c r="O618">
        <v>9</v>
      </c>
    </row>
    <row r="619" spans="1:15">
      <c r="A619" s="4">
        <v>45736</v>
      </c>
      <c r="B619" t="s">
        <v>116</v>
      </c>
      <c r="C619" t="s">
        <v>98</v>
      </c>
      <c r="D619">
        <v>2290</v>
      </c>
      <c r="E619" t="s">
        <v>74</v>
      </c>
      <c r="F619" t="s">
        <v>709</v>
      </c>
      <c r="G619" t="s">
        <v>46</v>
      </c>
      <c r="H619" t="s">
        <v>55</v>
      </c>
      <c r="I619" t="s">
        <v>79</v>
      </c>
      <c r="J619" t="s">
        <v>57</v>
      </c>
      <c r="K619" t="s">
        <v>58</v>
      </c>
      <c r="L619">
        <v>2</v>
      </c>
      <c r="M619">
        <v>90</v>
      </c>
      <c r="N619" t="s">
        <v>71</v>
      </c>
      <c r="O619">
        <v>6</v>
      </c>
    </row>
    <row r="620" spans="1:15">
      <c r="A620" s="4">
        <v>45959</v>
      </c>
      <c r="B620" t="s">
        <v>72</v>
      </c>
      <c r="C620" t="s">
        <v>73</v>
      </c>
      <c r="D620">
        <v>810</v>
      </c>
      <c r="E620" t="s">
        <v>74</v>
      </c>
      <c r="F620" t="s">
        <v>710</v>
      </c>
      <c r="G620" t="s">
        <v>46</v>
      </c>
      <c r="H620" t="s">
        <v>55</v>
      </c>
      <c r="I620" t="s">
        <v>84</v>
      </c>
      <c r="J620" t="s">
        <v>57</v>
      </c>
      <c r="K620" t="s">
        <v>66</v>
      </c>
      <c r="L620">
        <v>3</v>
      </c>
      <c r="M620">
        <v>30</v>
      </c>
      <c r="N620" t="s">
        <v>93</v>
      </c>
      <c r="O620">
        <v>9</v>
      </c>
    </row>
    <row r="621" spans="1:15">
      <c r="A621" s="4">
        <v>45933</v>
      </c>
      <c r="B621" t="s">
        <v>109</v>
      </c>
      <c r="C621" t="s">
        <v>77</v>
      </c>
      <c r="D621">
        <v>2090</v>
      </c>
      <c r="E621" t="s">
        <v>62</v>
      </c>
      <c r="F621" t="s">
        <v>711</v>
      </c>
      <c r="G621" t="s">
        <v>45</v>
      </c>
      <c r="H621" t="s">
        <v>55</v>
      </c>
      <c r="I621" t="s">
        <v>79</v>
      </c>
      <c r="J621" t="s">
        <v>57</v>
      </c>
      <c r="K621" t="s">
        <v>58</v>
      </c>
      <c r="L621">
        <v>5</v>
      </c>
      <c r="M621">
        <v>90</v>
      </c>
      <c r="N621" t="s">
        <v>93</v>
      </c>
      <c r="O621">
        <v>6</v>
      </c>
    </row>
    <row r="622" spans="1:15">
      <c r="A622" s="4">
        <v>45952</v>
      </c>
      <c r="B622" t="s">
        <v>97</v>
      </c>
      <c r="C622" t="s">
        <v>81</v>
      </c>
      <c r="D622">
        <v>450</v>
      </c>
      <c r="E622" t="s">
        <v>62</v>
      </c>
      <c r="F622" t="s">
        <v>712</v>
      </c>
      <c r="G622" t="s">
        <v>46</v>
      </c>
      <c r="H622" t="s">
        <v>55</v>
      </c>
      <c r="I622" t="s">
        <v>79</v>
      </c>
      <c r="J622" t="s">
        <v>57</v>
      </c>
      <c r="K622" t="s">
        <v>76</v>
      </c>
      <c r="L622">
        <v>3</v>
      </c>
      <c r="M622">
        <v>45</v>
      </c>
      <c r="N622" t="s">
        <v>93</v>
      </c>
      <c r="O622">
        <v>18</v>
      </c>
    </row>
    <row r="623" spans="1:15">
      <c r="A623" s="4">
        <v>45863</v>
      </c>
      <c r="B623" t="s">
        <v>51</v>
      </c>
      <c r="C623" t="s">
        <v>73</v>
      </c>
      <c r="D623">
        <v>3520</v>
      </c>
      <c r="E623" t="s">
        <v>62</v>
      </c>
      <c r="F623" t="s">
        <v>713</v>
      </c>
      <c r="G623" t="s">
        <v>46</v>
      </c>
      <c r="H623" t="s">
        <v>70</v>
      </c>
      <c r="I623" t="s">
        <v>79</v>
      </c>
      <c r="J623" t="s">
        <v>57</v>
      </c>
      <c r="K623" t="s">
        <v>66</v>
      </c>
      <c r="L623">
        <v>4</v>
      </c>
      <c r="M623">
        <v>90</v>
      </c>
      <c r="N623" t="s">
        <v>59</v>
      </c>
      <c r="O623">
        <v>18</v>
      </c>
    </row>
    <row r="624" spans="1:15">
      <c r="A624" s="4">
        <v>45994</v>
      </c>
      <c r="B624" t="s">
        <v>97</v>
      </c>
      <c r="C624" t="s">
        <v>95</v>
      </c>
      <c r="D624">
        <v>3610</v>
      </c>
      <c r="E624" t="s">
        <v>62</v>
      </c>
      <c r="F624" t="s">
        <v>714</v>
      </c>
      <c r="G624" t="s">
        <v>46</v>
      </c>
      <c r="H624" t="s">
        <v>55</v>
      </c>
      <c r="I624" t="s">
        <v>79</v>
      </c>
      <c r="J624" t="s">
        <v>65</v>
      </c>
      <c r="K624" t="s">
        <v>66</v>
      </c>
      <c r="L624">
        <v>1</v>
      </c>
      <c r="M624">
        <v>90</v>
      </c>
      <c r="N624" t="s">
        <v>93</v>
      </c>
      <c r="O624">
        <v>6</v>
      </c>
    </row>
    <row r="625" spans="1:15">
      <c r="A625" s="4">
        <v>45962</v>
      </c>
      <c r="B625" t="s">
        <v>60</v>
      </c>
      <c r="C625" t="s">
        <v>73</v>
      </c>
      <c r="D625">
        <v>4290</v>
      </c>
      <c r="E625" t="s">
        <v>74</v>
      </c>
      <c r="F625" t="s">
        <v>715</v>
      </c>
      <c r="G625" t="s">
        <v>46</v>
      </c>
      <c r="H625" t="s">
        <v>55</v>
      </c>
      <c r="I625" t="s">
        <v>84</v>
      </c>
      <c r="J625" t="s">
        <v>65</v>
      </c>
      <c r="K625" t="s">
        <v>58</v>
      </c>
      <c r="L625">
        <v>4</v>
      </c>
      <c r="M625">
        <v>90</v>
      </c>
      <c r="N625" t="s">
        <v>71</v>
      </c>
      <c r="O625">
        <v>14</v>
      </c>
    </row>
    <row r="626" spans="1:15">
      <c r="A626" s="4">
        <v>46020</v>
      </c>
      <c r="B626" t="s">
        <v>116</v>
      </c>
      <c r="C626" t="s">
        <v>95</v>
      </c>
      <c r="D626">
        <v>4960</v>
      </c>
      <c r="E626" t="s">
        <v>53</v>
      </c>
      <c r="F626" t="s">
        <v>716</v>
      </c>
      <c r="G626" t="s">
        <v>45</v>
      </c>
      <c r="H626" t="s">
        <v>70</v>
      </c>
      <c r="I626" t="s">
        <v>84</v>
      </c>
      <c r="J626" t="s">
        <v>57</v>
      </c>
      <c r="K626" t="s">
        <v>58</v>
      </c>
      <c r="L626">
        <v>2</v>
      </c>
      <c r="M626">
        <v>60</v>
      </c>
      <c r="N626" t="s">
        <v>93</v>
      </c>
      <c r="O626">
        <v>15</v>
      </c>
    </row>
    <row r="627" spans="1:15">
      <c r="A627" s="4">
        <v>45831</v>
      </c>
      <c r="B627" t="s">
        <v>90</v>
      </c>
      <c r="C627" t="s">
        <v>81</v>
      </c>
      <c r="D627">
        <v>2190</v>
      </c>
      <c r="E627" t="s">
        <v>53</v>
      </c>
      <c r="F627" t="s">
        <v>717</v>
      </c>
      <c r="G627" t="s">
        <v>46</v>
      </c>
      <c r="H627" t="s">
        <v>70</v>
      </c>
      <c r="I627" t="s">
        <v>79</v>
      </c>
      <c r="J627" t="s">
        <v>57</v>
      </c>
      <c r="K627" t="s">
        <v>76</v>
      </c>
      <c r="L627">
        <v>3</v>
      </c>
      <c r="M627">
        <v>60</v>
      </c>
      <c r="N627" t="s">
        <v>93</v>
      </c>
      <c r="O627">
        <v>7</v>
      </c>
    </row>
    <row r="628" spans="1:15">
      <c r="A628" s="4">
        <v>45749</v>
      </c>
      <c r="B628" t="s">
        <v>109</v>
      </c>
      <c r="C628" t="s">
        <v>73</v>
      </c>
      <c r="D628">
        <v>4280</v>
      </c>
      <c r="E628" t="s">
        <v>62</v>
      </c>
      <c r="F628" t="s">
        <v>718</v>
      </c>
      <c r="G628" t="s">
        <v>46</v>
      </c>
      <c r="H628" t="s">
        <v>55</v>
      </c>
      <c r="I628" t="s">
        <v>64</v>
      </c>
      <c r="J628" t="s">
        <v>57</v>
      </c>
      <c r="K628" t="s">
        <v>58</v>
      </c>
      <c r="L628">
        <v>3</v>
      </c>
      <c r="M628">
        <v>90</v>
      </c>
      <c r="N628" t="s">
        <v>93</v>
      </c>
      <c r="O628">
        <v>8</v>
      </c>
    </row>
    <row r="629" spans="1:15">
      <c r="A629" s="4">
        <v>45686</v>
      </c>
      <c r="B629" t="s">
        <v>51</v>
      </c>
      <c r="C629" t="s">
        <v>98</v>
      </c>
      <c r="D629">
        <v>3250</v>
      </c>
      <c r="E629" t="s">
        <v>74</v>
      </c>
      <c r="F629" t="s">
        <v>719</v>
      </c>
      <c r="G629" t="s">
        <v>46</v>
      </c>
      <c r="H629" t="s">
        <v>55</v>
      </c>
      <c r="I629" t="s">
        <v>56</v>
      </c>
      <c r="J629" t="s">
        <v>57</v>
      </c>
      <c r="K629" t="s">
        <v>66</v>
      </c>
      <c r="L629">
        <v>4</v>
      </c>
      <c r="M629">
        <v>30</v>
      </c>
      <c r="N629" t="s">
        <v>71</v>
      </c>
      <c r="O629">
        <v>15</v>
      </c>
    </row>
    <row r="630" spans="1:15">
      <c r="A630" s="4">
        <v>46008</v>
      </c>
      <c r="B630" t="s">
        <v>80</v>
      </c>
      <c r="C630" t="s">
        <v>81</v>
      </c>
      <c r="D630">
        <v>4100</v>
      </c>
      <c r="E630" t="s">
        <v>62</v>
      </c>
      <c r="F630" t="s">
        <v>720</v>
      </c>
      <c r="G630" t="s">
        <v>46</v>
      </c>
      <c r="H630" t="s">
        <v>70</v>
      </c>
      <c r="I630" t="s">
        <v>64</v>
      </c>
      <c r="J630" t="s">
        <v>57</v>
      </c>
      <c r="K630" t="s">
        <v>58</v>
      </c>
      <c r="L630">
        <v>5</v>
      </c>
      <c r="M630">
        <v>30</v>
      </c>
      <c r="N630" t="s">
        <v>93</v>
      </c>
      <c r="O630">
        <v>9</v>
      </c>
    </row>
    <row r="631" spans="1:15">
      <c r="A631" s="4">
        <v>45993</v>
      </c>
      <c r="B631" t="s">
        <v>60</v>
      </c>
      <c r="C631" t="s">
        <v>68</v>
      </c>
      <c r="D631">
        <v>2930</v>
      </c>
      <c r="E631" t="s">
        <v>62</v>
      </c>
      <c r="F631" t="s">
        <v>721</v>
      </c>
      <c r="G631" t="s">
        <v>46</v>
      </c>
      <c r="H631" t="s">
        <v>55</v>
      </c>
      <c r="I631" t="s">
        <v>79</v>
      </c>
      <c r="J631" t="s">
        <v>57</v>
      </c>
      <c r="K631" t="s">
        <v>76</v>
      </c>
      <c r="L631">
        <v>4</v>
      </c>
      <c r="M631">
        <v>90</v>
      </c>
      <c r="N631" t="s">
        <v>71</v>
      </c>
      <c r="O631">
        <v>18</v>
      </c>
    </row>
    <row r="632" spans="1:15">
      <c r="A632" s="4">
        <v>45737</v>
      </c>
      <c r="B632" t="s">
        <v>101</v>
      </c>
      <c r="C632" t="s">
        <v>98</v>
      </c>
      <c r="D632">
        <v>170</v>
      </c>
      <c r="E632" t="s">
        <v>62</v>
      </c>
      <c r="F632" t="s">
        <v>722</v>
      </c>
      <c r="G632" t="s">
        <v>46</v>
      </c>
      <c r="H632" t="s">
        <v>55</v>
      </c>
      <c r="I632" t="s">
        <v>79</v>
      </c>
      <c r="J632" t="s">
        <v>57</v>
      </c>
      <c r="K632" t="s">
        <v>76</v>
      </c>
      <c r="L632">
        <v>5</v>
      </c>
      <c r="M632">
        <v>90</v>
      </c>
      <c r="N632" t="s">
        <v>93</v>
      </c>
      <c r="O632">
        <v>5</v>
      </c>
    </row>
    <row r="633" spans="1:15">
      <c r="A633" s="4">
        <v>45678</v>
      </c>
      <c r="B633" t="s">
        <v>90</v>
      </c>
      <c r="C633" t="s">
        <v>77</v>
      </c>
      <c r="D633">
        <v>1390</v>
      </c>
      <c r="E633" t="s">
        <v>74</v>
      </c>
      <c r="F633" t="s">
        <v>723</v>
      </c>
      <c r="G633" t="s">
        <v>45</v>
      </c>
      <c r="H633" t="s">
        <v>70</v>
      </c>
      <c r="I633" t="s">
        <v>56</v>
      </c>
      <c r="J633" t="s">
        <v>57</v>
      </c>
      <c r="K633" t="s">
        <v>76</v>
      </c>
      <c r="L633">
        <v>1</v>
      </c>
      <c r="M633">
        <v>90</v>
      </c>
      <c r="N633" t="s">
        <v>93</v>
      </c>
      <c r="O633">
        <v>18</v>
      </c>
    </row>
    <row r="634" spans="1:15">
      <c r="A634" s="4">
        <v>45801</v>
      </c>
      <c r="B634" t="s">
        <v>90</v>
      </c>
      <c r="C634" t="s">
        <v>95</v>
      </c>
      <c r="D634">
        <v>1250</v>
      </c>
      <c r="E634" t="s">
        <v>53</v>
      </c>
      <c r="F634" t="s">
        <v>724</v>
      </c>
      <c r="G634" t="s">
        <v>45</v>
      </c>
      <c r="H634" t="s">
        <v>55</v>
      </c>
      <c r="I634" t="s">
        <v>92</v>
      </c>
      <c r="J634" t="s">
        <v>65</v>
      </c>
      <c r="K634" t="s">
        <v>66</v>
      </c>
      <c r="L634">
        <v>3</v>
      </c>
      <c r="M634">
        <v>45</v>
      </c>
      <c r="N634" t="s">
        <v>59</v>
      </c>
      <c r="O634">
        <v>9</v>
      </c>
    </row>
    <row r="635" spans="1:15">
      <c r="A635" s="4">
        <v>45992</v>
      </c>
      <c r="B635" t="s">
        <v>94</v>
      </c>
      <c r="C635" t="s">
        <v>86</v>
      </c>
      <c r="D635">
        <v>4280</v>
      </c>
      <c r="E635" t="s">
        <v>53</v>
      </c>
      <c r="F635" t="s">
        <v>725</v>
      </c>
      <c r="G635" t="s">
        <v>46</v>
      </c>
      <c r="H635" t="s">
        <v>55</v>
      </c>
      <c r="I635" t="s">
        <v>84</v>
      </c>
      <c r="J635" t="s">
        <v>57</v>
      </c>
      <c r="K635" t="s">
        <v>66</v>
      </c>
      <c r="L635">
        <v>2</v>
      </c>
      <c r="M635">
        <v>45</v>
      </c>
      <c r="N635" t="s">
        <v>71</v>
      </c>
      <c r="O635">
        <v>20</v>
      </c>
    </row>
    <row r="636" spans="1:15">
      <c r="A636" s="4">
        <v>45942</v>
      </c>
      <c r="B636" t="s">
        <v>94</v>
      </c>
      <c r="C636" t="s">
        <v>95</v>
      </c>
      <c r="D636">
        <v>1190</v>
      </c>
      <c r="E636" t="s">
        <v>74</v>
      </c>
      <c r="F636" t="s">
        <v>726</v>
      </c>
      <c r="G636" t="s">
        <v>45</v>
      </c>
      <c r="H636" t="s">
        <v>70</v>
      </c>
      <c r="I636" t="s">
        <v>92</v>
      </c>
      <c r="J636" t="s">
        <v>57</v>
      </c>
      <c r="K636" t="s">
        <v>58</v>
      </c>
      <c r="L636">
        <v>1</v>
      </c>
      <c r="M636">
        <v>60</v>
      </c>
      <c r="N636" t="s">
        <v>71</v>
      </c>
      <c r="O636">
        <v>20</v>
      </c>
    </row>
    <row r="637" spans="1:15">
      <c r="A637" s="4">
        <v>45684</v>
      </c>
      <c r="B637" t="s">
        <v>101</v>
      </c>
      <c r="C637" t="s">
        <v>52</v>
      </c>
      <c r="D637">
        <v>4880</v>
      </c>
      <c r="E637" t="s">
        <v>62</v>
      </c>
      <c r="F637" t="s">
        <v>727</v>
      </c>
      <c r="G637" t="s">
        <v>45</v>
      </c>
      <c r="H637" t="s">
        <v>55</v>
      </c>
      <c r="I637" t="s">
        <v>88</v>
      </c>
      <c r="J637" t="s">
        <v>57</v>
      </c>
      <c r="K637" t="s">
        <v>66</v>
      </c>
      <c r="L637">
        <v>5</v>
      </c>
      <c r="M637">
        <v>60</v>
      </c>
      <c r="N637" t="s">
        <v>71</v>
      </c>
      <c r="O637">
        <v>13</v>
      </c>
    </row>
    <row r="638" spans="1:15">
      <c r="A638" s="4">
        <v>45900</v>
      </c>
      <c r="B638" t="s">
        <v>109</v>
      </c>
      <c r="C638" t="s">
        <v>86</v>
      </c>
      <c r="D638">
        <v>500</v>
      </c>
      <c r="E638" t="s">
        <v>62</v>
      </c>
      <c r="F638" t="s">
        <v>728</v>
      </c>
      <c r="G638" t="s">
        <v>46</v>
      </c>
      <c r="H638" t="s">
        <v>70</v>
      </c>
      <c r="I638" t="s">
        <v>56</v>
      </c>
      <c r="J638" t="s">
        <v>57</v>
      </c>
      <c r="K638" t="s">
        <v>66</v>
      </c>
      <c r="L638">
        <v>2</v>
      </c>
      <c r="M638">
        <v>45</v>
      </c>
      <c r="N638" t="s">
        <v>59</v>
      </c>
      <c r="O638">
        <v>15</v>
      </c>
    </row>
    <row r="639" spans="1:15">
      <c r="A639" s="4">
        <v>45879</v>
      </c>
      <c r="B639" t="s">
        <v>60</v>
      </c>
      <c r="C639" t="s">
        <v>114</v>
      </c>
      <c r="D639">
        <v>580</v>
      </c>
      <c r="E639" t="s">
        <v>53</v>
      </c>
      <c r="F639" t="s">
        <v>729</v>
      </c>
      <c r="G639" t="s">
        <v>45</v>
      </c>
      <c r="H639" t="s">
        <v>55</v>
      </c>
      <c r="I639" t="s">
        <v>56</v>
      </c>
      <c r="J639" t="s">
        <v>65</v>
      </c>
      <c r="K639" t="s">
        <v>58</v>
      </c>
      <c r="L639">
        <v>3</v>
      </c>
      <c r="M639">
        <v>30</v>
      </c>
      <c r="N639" t="s">
        <v>59</v>
      </c>
      <c r="O639">
        <v>13</v>
      </c>
    </row>
    <row r="640" spans="1:15">
      <c r="A640" s="4">
        <v>45937</v>
      </c>
      <c r="B640" t="s">
        <v>109</v>
      </c>
      <c r="C640" t="s">
        <v>68</v>
      </c>
      <c r="D640">
        <v>3390</v>
      </c>
      <c r="E640" t="s">
        <v>62</v>
      </c>
      <c r="F640" t="s">
        <v>730</v>
      </c>
      <c r="G640" t="s">
        <v>46</v>
      </c>
      <c r="H640" t="s">
        <v>55</v>
      </c>
      <c r="I640" t="s">
        <v>56</v>
      </c>
      <c r="J640" t="s">
        <v>65</v>
      </c>
      <c r="K640" t="s">
        <v>66</v>
      </c>
      <c r="L640">
        <v>3</v>
      </c>
      <c r="M640">
        <v>30</v>
      </c>
      <c r="N640" t="s">
        <v>71</v>
      </c>
      <c r="O640">
        <v>8</v>
      </c>
    </row>
    <row r="641" spans="1:15">
      <c r="A641" s="4">
        <v>45726</v>
      </c>
      <c r="B641" t="s">
        <v>90</v>
      </c>
      <c r="C641" t="s">
        <v>52</v>
      </c>
      <c r="D641">
        <v>1200</v>
      </c>
      <c r="E641" t="s">
        <v>62</v>
      </c>
      <c r="F641" t="s">
        <v>731</v>
      </c>
      <c r="G641" t="s">
        <v>45</v>
      </c>
      <c r="H641" t="s">
        <v>55</v>
      </c>
      <c r="I641" t="s">
        <v>88</v>
      </c>
      <c r="J641" t="s">
        <v>65</v>
      </c>
      <c r="K641" t="s">
        <v>58</v>
      </c>
      <c r="L641">
        <v>5</v>
      </c>
      <c r="M641">
        <v>90</v>
      </c>
      <c r="N641" t="s">
        <v>93</v>
      </c>
      <c r="O641">
        <v>9</v>
      </c>
    </row>
    <row r="642" spans="1:15">
      <c r="A642" s="4">
        <v>45847</v>
      </c>
      <c r="B642" t="s">
        <v>60</v>
      </c>
      <c r="C642" t="s">
        <v>77</v>
      </c>
      <c r="D642">
        <v>1220</v>
      </c>
      <c r="E642" t="s">
        <v>53</v>
      </c>
      <c r="F642" t="s">
        <v>732</v>
      </c>
      <c r="G642" t="s">
        <v>46</v>
      </c>
      <c r="H642" t="s">
        <v>55</v>
      </c>
      <c r="I642" t="s">
        <v>88</v>
      </c>
      <c r="J642" t="s">
        <v>65</v>
      </c>
      <c r="K642" t="s">
        <v>58</v>
      </c>
      <c r="L642">
        <v>5</v>
      </c>
      <c r="M642">
        <v>30</v>
      </c>
      <c r="N642" t="s">
        <v>59</v>
      </c>
      <c r="O642">
        <v>4</v>
      </c>
    </row>
    <row r="643" spans="1:15">
      <c r="A643" s="4">
        <v>45991</v>
      </c>
      <c r="B643" t="s">
        <v>97</v>
      </c>
      <c r="C643" t="s">
        <v>61</v>
      </c>
      <c r="D643">
        <v>2040</v>
      </c>
      <c r="E643" t="s">
        <v>62</v>
      </c>
      <c r="F643" t="s">
        <v>733</v>
      </c>
      <c r="G643" t="s">
        <v>46</v>
      </c>
      <c r="H643" t="s">
        <v>70</v>
      </c>
      <c r="I643" t="s">
        <v>84</v>
      </c>
      <c r="J643" t="s">
        <v>65</v>
      </c>
      <c r="K643" t="s">
        <v>58</v>
      </c>
      <c r="L643">
        <v>4</v>
      </c>
      <c r="M643">
        <v>30</v>
      </c>
      <c r="N643" t="s">
        <v>93</v>
      </c>
      <c r="O643">
        <v>17</v>
      </c>
    </row>
    <row r="644" spans="1:15">
      <c r="A644" s="4">
        <v>45903</v>
      </c>
      <c r="B644" t="s">
        <v>109</v>
      </c>
      <c r="C644" t="s">
        <v>61</v>
      </c>
      <c r="D644">
        <v>2150</v>
      </c>
      <c r="E644" t="s">
        <v>62</v>
      </c>
      <c r="F644" t="s">
        <v>734</v>
      </c>
      <c r="G644" t="s">
        <v>45</v>
      </c>
      <c r="H644" t="s">
        <v>70</v>
      </c>
      <c r="I644" t="s">
        <v>64</v>
      </c>
      <c r="J644" t="s">
        <v>65</v>
      </c>
      <c r="K644" t="s">
        <v>76</v>
      </c>
      <c r="L644">
        <v>4</v>
      </c>
      <c r="M644">
        <v>60</v>
      </c>
      <c r="N644" t="s">
        <v>93</v>
      </c>
      <c r="O644">
        <v>16</v>
      </c>
    </row>
    <row r="645" spans="1:15">
      <c r="A645" s="4">
        <v>45782</v>
      </c>
      <c r="B645" t="s">
        <v>97</v>
      </c>
      <c r="C645" t="s">
        <v>98</v>
      </c>
      <c r="D645">
        <v>710</v>
      </c>
      <c r="E645" t="s">
        <v>74</v>
      </c>
      <c r="F645" t="s">
        <v>735</v>
      </c>
      <c r="G645" t="s">
        <v>45</v>
      </c>
      <c r="H645" t="s">
        <v>70</v>
      </c>
      <c r="I645" t="s">
        <v>79</v>
      </c>
      <c r="J645" t="s">
        <v>65</v>
      </c>
      <c r="K645" t="s">
        <v>66</v>
      </c>
      <c r="L645">
        <v>3</v>
      </c>
      <c r="M645">
        <v>60</v>
      </c>
      <c r="N645" t="s">
        <v>71</v>
      </c>
      <c r="O645">
        <v>5</v>
      </c>
    </row>
    <row r="646" spans="1:15">
      <c r="A646" s="4">
        <v>46012</v>
      </c>
      <c r="B646" t="s">
        <v>51</v>
      </c>
      <c r="C646" t="s">
        <v>68</v>
      </c>
      <c r="D646">
        <v>3270</v>
      </c>
      <c r="E646" t="s">
        <v>62</v>
      </c>
      <c r="F646" t="s">
        <v>736</v>
      </c>
      <c r="G646" t="s">
        <v>46</v>
      </c>
      <c r="H646" t="s">
        <v>70</v>
      </c>
      <c r="I646" t="s">
        <v>64</v>
      </c>
      <c r="J646" t="s">
        <v>57</v>
      </c>
      <c r="K646" t="s">
        <v>66</v>
      </c>
      <c r="L646">
        <v>4</v>
      </c>
      <c r="M646">
        <v>45</v>
      </c>
      <c r="N646" t="s">
        <v>93</v>
      </c>
      <c r="O646">
        <v>18</v>
      </c>
    </row>
    <row r="647" spans="1:15">
      <c r="A647" s="4">
        <v>45665</v>
      </c>
      <c r="B647" t="s">
        <v>72</v>
      </c>
      <c r="C647" t="s">
        <v>73</v>
      </c>
      <c r="D647">
        <v>1810</v>
      </c>
      <c r="E647" t="s">
        <v>62</v>
      </c>
      <c r="F647" t="s">
        <v>737</v>
      </c>
      <c r="G647" t="s">
        <v>45</v>
      </c>
      <c r="H647" t="s">
        <v>70</v>
      </c>
      <c r="I647" t="s">
        <v>64</v>
      </c>
      <c r="J647" t="s">
        <v>57</v>
      </c>
      <c r="K647" t="s">
        <v>66</v>
      </c>
      <c r="L647">
        <v>2</v>
      </c>
      <c r="M647">
        <v>90</v>
      </c>
      <c r="N647" t="s">
        <v>59</v>
      </c>
      <c r="O647">
        <v>11</v>
      </c>
    </row>
    <row r="648" spans="1:15">
      <c r="A648" s="4">
        <v>45742</v>
      </c>
      <c r="B648" t="s">
        <v>97</v>
      </c>
      <c r="C648" t="s">
        <v>52</v>
      </c>
      <c r="D648">
        <v>660</v>
      </c>
      <c r="E648" t="s">
        <v>62</v>
      </c>
      <c r="F648" t="s">
        <v>738</v>
      </c>
      <c r="G648" t="s">
        <v>46</v>
      </c>
      <c r="H648" t="s">
        <v>55</v>
      </c>
      <c r="I648" t="s">
        <v>92</v>
      </c>
      <c r="J648" t="s">
        <v>57</v>
      </c>
      <c r="K648" t="s">
        <v>76</v>
      </c>
      <c r="L648">
        <v>2</v>
      </c>
      <c r="M648">
        <v>30</v>
      </c>
      <c r="N648" t="s">
        <v>93</v>
      </c>
      <c r="O648">
        <v>12</v>
      </c>
    </row>
    <row r="649" spans="1:15">
      <c r="A649" s="4">
        <v>45878</v>
      </c>
      <c r="B649" t="s">
        <v>94</v>
      </c>
      <c r="C649" t="s">
        <v>77</v>
      </c>
      <c r="D649">
        <v>1870</v>
      </c>
      <c r="E649" t="s">
        <v>53</v>
      </c>
      <c r="F649" t="s">
        <v>739</v>
      </c>
      <c r="G649" t="s">
        <v>46</v>
      </c>
      <c r="H649" t="s">
        <v>70</v>
      </c>
      <c r="I649" t="s">
        <v>88</v>
      </c>
      <c r="J649" t="s">
        <v>57</v>
      </c>
      <c r="K649" t="s">
        <v>66</v>
      </c>
      <c r="L649">
        <v>4</v>
      </c>
      <c r="M649">
        <v>45</v>
      </c>
      <c r="N649" t="s">
        <v>71</v>
      </c>
      <c r="O649">
        <v>11</v>
      </c>
    </row>
    <row r="650" spans="1:15">
      <c r="A650" s="4">
        <v>45808</v>
      </c>
      <c r="B650" t="s">
        <v>101</v>
      </c>
      <c r="C650" t="s">
        <v>61</v>
      </c>
      <c r="D650">
        <v>170</v>
      </c>
      <c r="E650" t="s">
        <v>62</v>
      </c>
      <c r="F650" t="s">
        <v>740</v>
      </c>
      <c r="G650" t="s">
        <v>46</v>
      </c>
      <c r="H650" t="s">
        <v>55</v>
      </c>
      <c r="I650" t="s">
        <v>64</v>
      </c>
      <c r="J650" t="s">
        <v>65</v>
      </c>
      <c r="K650" t="s">
        <v>58</v>
      </c>
      <c r="L650">
        <v>3</v>
      </c>
      <c r="M650">
        <v>30</v>
      </c>
      <c r="N650" t="s">
        <v>93</v>
      </c>
      <c r="O650">
        <v>6</v>
      </c>
    </row>
    <row r="651" spans="1:15">
      <c r="A651" s="4">
        <v>45774</v>
      </c>
      <c r="B651" t="s">
        <v>60</v>
      </c>
      <c r="C651" t="s">
        <v>114</v>
      </c>
      <c r="D651">
        <v>1740</v>
      </c>
      <c r="E651" t="s">
        <v>53</v>
      </c>
      <c r="F651" t="s">
        <v>741</v>
      </c>
      <c r="G651" t="s">
        <v>46</v>
      </c>
      <c r="H651" t="s">
        <v>70</v>
      </c>
      <c r="I651" t="s">
        <v>79</v>
      </c>
      <c r="J651" t="s">
        <v>57</v>
      </c>
      <c r="K651" t="s">
        <v>76</v>
      </c>
      <c r="L651">
        <v>3</v>
      </c>
      <c r="M651">
        <v>45</v>
      </c>
      <c r="N651" t="s">
        <v>71</v>
      </c>
      <c r="O651">
        <v>15</v>
      </c>
    </row>
    <row r="652" spans="1:15">
      <c r="A652" s="4">
        <v>45848</v>
      </c>
      <c r="B652" t="s">
        <v>72</v>
      </c>
      <c r="C652" t="s">
        <v>61</v>
      </c>
      <c r="D652">
        <v>1910</v>
      </c>
      <c r="E652" t="s">
        <v>74</v>
      </c>
      <c r="F652" t="s">
        <v>742</v>
      </c>
      <c r="G652" t="s">
        <v>46</v>
      </c>
      <c r="H652" t="s">
        <v>70</v>
      </c>
      <c r="I652" t="s">
        <v>56</v>
      </c>
      <c r="J652" t="s">
        <v>57</v>
      </c>
      <c r="K652" t="s">
        <v>58</v>
      </c>
      <c r="L652">
        <v>4</v>
      </c>
      <c r="M652">
        <v>90</v>
      </c>
      <c r="N652" t="s">
        <v>59</v>
      </c>
      <c r="O652">
        <v>17</v>
      </c>
    </row>
    <row r="653" spans="1:15">
      <c r="A653" s="4">
        <v>46000</v>
      </c>
      <c r="B653" t="s">
        <v>101</v>
      </c>
      <c r="C653" t="s">
        <v>73</v>
      </c>
      <c r="D653">
        <v>2070</v>
      </c>
      <c r="E653" t="s">
        <v>53</v>
      </c>
      <c r="F653" t="s">
        <v>743</v>
      </c>
      <c r="G653" t="s">
        <v>45</v>
      </c>
      <c r="H653" t="s">
        <v>55</v>
      </c>
      <c r="I653" t="s">
        <v>92</v>
      </c>
      <c r="J653" t="s">
        <v>65</v>
      </c>
      <c r="K653" t="s">
        <v>66</v>
      </c>
      <c r="L653">
        <v>4</v>
      </c>
      <c r="M653">
        <v>30</v>
      </c>
      <c r="N653" t="s">
        <v>71</v>
      </c>
      <c r="O653">
        <v>15</v>
      </c>
    </row>
    <row r="654" spans="1:15">
      <c r="A654" s="4">
        <v>45738</v>
      </c>
      <c r="B654" t="s">
        <v>109</v>
      </c>
      <c r="C654" t="s">
        <v>77</v>
      </c>
      <c r="D654">
        <v>3700</v>
      </c>
      <c r="E654" t="s">
        <v>53</v>
      </c>
      <c r="F654" t="s">
        <v>744</v>
      </c>
      <c r="G654" t="s">
        <v>45</v>
      </c>
      <c r="H654" t="s">
        <v>70</v>
      </c>
      <c r="I654" t="s">
        <v>88</v>
      </c>
      <c r="J654" t="s">
        <v>57</v>
      </c>
      <c r="K654" t="s">
        <v>66</v>
      </c>
      <c r="L654">
        <v>2</v>
      </c>
      <c r="M654">
        <v>45</v>
      </c>
      <c r="N654" t="s">
        <v>59</v>
      </c>
      <c r="O654">
        <v>8</v>
      </c>
    </row>
    <row r="655" spans="1:15">
      <c r="A655" s="4">
        <v>45999</v>
      </c>
      <c r="B655" t="s">
        <v>90</v>
      </c>
      <c r="C655" t="s">
        <v>86</v>
      </c>
      <c r="D655">
        <v>3770</v>
      </c>
      <c r="E655" t="s">
        <v>74</v>
      </c>
      <c r="F655" t="s">
        <v>745</v>
      </c>
      <c r="G655" t="s">
        <v>45</v>
      </c>
      <c r="H655" t="s">
        <v>55</v>
      </c>
      <c r="I655" t="s">
        <v>79</v>
      </c>
      <c r="J655" t="s">
        <v>57</v>
      </c>
      <c r="K655" t="s">
        <v>76</v>
      </c>
      <c r="L655">
        <v>1</v>
      </c>
      <c r="M655">
        <v>60</v>
      </c>
      <c r="N655" t="s">
        <v>93</v>
      </c>
      <c r="O655">
        <v>7</v>
      </c>
    </row>
    <row r="656" spans="1:15">
      <c r="A656" s="4">
        <v>45858</v>
      </c>
      <c r="B656" t="s">
        <v>67</v>
      </c>
      <c r="C656" t="s">
        <v>77</v>
      </c>
      <c r="D656">
        <v>2570</v>
      </c>
      <c r="E656" t="s">
        <v>53</v>
      </c>
      <c r="F656" t="s">
        <v>746</v>
      </c>
      <c r="G656" t="s">
        <v>46</v>
      </c>
      <c r="H656" t="s">
        <v>70</v>
      </c>
      <c r="I656" t="s">
        <v>64</v>
      </c>
      <c r="J656" t="s">
        <v>57</v>
      </c>
      <c r="K656" t="s">
        <v>76</v>
      </c>
      <c r="L656">
        <v>3</v>
      </c>
      <c r="M656">
        <v>60</v>
      </c>
      <c r="N656" t="s">
        <v>71</v>
      </c>
      <c r="O656">
        <v>10</v>
      </c>
    </row>
    <row r="657" spans="1:15">
      <c r="A657" s="4">
        <v>45945</v>
      </c>
      <c r="B657" t="s">
        <v>97</v>
      </c>
      <c r="C657" t="s">
        <v>68</v>
      </c>
      <c r="D657">
        <v>2810</v>
      </c>
      <c r="E657" t="s">
        <v>74</v>
      </c>
      <c r="F657" t="s">
        <v>747</v>
      </c>
      <c r="G657" t="s">
        <v>46</v>
      </c>
      <c r="H657" t="s">
        <v>70</v>
      </c>
      <c r="I657" t="s">
        <v>92</v>
      </c>
      <c r="J657" t="s">
        <v>57</v>
      </c>
      <c r="K657" t="s">
        <v>76</v>
      </c>
      <c r="L657">
        <v>2</v>
      </c>
      <c r="M657">
        <v>90</v>
      </c>
      <c r="N657" t="s">
        <v>93</v>
      </c>
      <c r="O657">
        <v>10</v>
      </c>
    </row>
    <row r="658" spans="1:15">
      <c r="A658" s="4">
        <v>45751</v>
      </c>
      <c r="B658" t="s">
        <v>109</v>
      </c>
      <c r="C658" t="s">
        <v>114</v>
      </c>
      <c r="D658">
        <v>4900</v>
      </c>
      <c r="E658" t="s">
        <v>53</v>
      </c>
      <c r="F658" t="s">
        <v>748</v>
      </c>
      <c r="G658" t="s">
        <v>45</v>
      </c>
      <c r="H658" t="s">
        <v>55</v>
      </c>
      <c r="I658" t="s">
        <v>64</v>
      </c>
      <c r="J658" t="s">
        <v>65</v>
      </c>
      <c r="K658" t="s">
        <v>66</v>
      </c>
      <c r="L658">
        <v>4</v>
      </c>
      <c r="M658">
        <v>30</v>
      </c>
      <c r="N658" t="s">
        <v>71</v>
      </c>
      <c r="O658">
        <v>10</v>
      </c>
    </row>
    <row r="659" spans="1:15">
      <c r="A659" s="4">
        <v>45794</v>
      </c>
      <c r="B659" t="s">
        <v>51</v>
      </c>
      <c r="C659" t="s">
        <v>52</v>
      </c>
      <c r="D659">
        <v>1380</v>
      </c>
      <c r="E659" t="s">
        <v>53</v>
      </c>
      <c r="F659" t="s">
        <v>749</v>
      </c>
      <c r="G659" t="s">
        <v>45</v>
      </c>
      <c r="H659" t="s">
        <v>70</v>
      </c>
      <c r="I659" t="s">
        <v>56</v>
      </c>
      <c r="J659" t="s">
        <v>65</v>
      </c>
      <c r="K659" t="s">
        <v>66</v>
      </c>
      <c r="L659">
        <v>1</v>
      </c>
      <c r="M659">
        <v>30</v>
      </c>
      <c r="N659" t="s">
        <v>71</v>
      </c>
      <c r="O659">
        <v>20</v>
      </c>
    </row>
    <row r="660" spans="1:15">
      <c r="A660" s="4">
        <v>45762</v>
      </c>
      <c r="B660" t="s">
        <v>72</v>
      </c>
      <c r="C660" t="s">
        <v>114</v>
      </c>
      <c r="D660">
        <v>4810</v>
      </c>
      <c r="E660" t="s">
        <v>53</v>
      </c>
      <c r="F660" t="s">
        <v>750</v>
      </c>
      <c r="G660" t="s">
        <v>45</v>
      </c>
      <c r="H660" t="s">
        <v>55</v>
      </c>
      <c r="I660" t="s">
        <v>92</v>
      </c>
      <c r="J660" t="s">
        <v>65</v>
      </c>
      <c r="K660" t="s">
        <v>76</v>
      </c>
      <c r="L660">
        <v>2</v>
      </c>
      <c r="M660">
        <v>45</v>
      </c>
      <c r="N660" t="s">
        <v>93</v>
      </c>
      <c r="O660">
        <v>6</v>
      </c>
    </row>
    <row r="661" spans="1:15">
      <c r="A661" s="4">
        <v>45978</v>
      </c>
      <c r="B661" t="s">
        <v>97</v>
      </c>
      <c r="C661" t="s">
        <v>61</v>
      </c>
      <c r="D661">
        <v>440</v>
      </c>
      <c r="E661" t="s">
        <v>74</v>
      </c>
      <c r="F661" t="s">
        <v>751</v>
      </c>
      <c r="G661" t="s">
        <v>45</v>
      </c>
      <c r="H661" t="s">
        <v>70</v>
      </c>
      <c r="I661" t="s">
        <v>56</v>
      </c>
      <c r="J661" t="s">
        <v>57</v>
      </c>
      <c r="K661" t="s">
        <v>66</v>
      </c>
      <c r="L661">
        <v>1</v>
      </c>
      <c r="M661">
        <v>60</v>
      </c>
      <c r="N661" t="s">
        <v>71</v>
      </c>
      <c r="O661">
        <v>17</v>
      </c>
    </row>
    <row r="662" spans="1:15">
      <c r="A662" s="4">
        <v>45845</v>
      </c>
      <c r="B662" t="s">
        <v>72</v>
      </c>
      <c r="C662" t="s">
        <v>95</v>
      </c>
      <c r="D662">
        <v>3110</v>
      </c>
      <c r="E662" t="s">
        <v>62</v>
      </c>
      <c r="F662" t="s">
        <v>752</v>
      </c>
      <c r="G662" t="s">
        <v>45</v>
      </c>
      <c r="H662" t="s">
        <v>55</v>
      </c>
      <c r="I662" t="s">
        <v>56</v>
      </c>
      <c r="J662" t="s">
        <v>65</v>
      </c>
      <c r="K662" t="s">
        <v>66</v>
      </c>
      <c r="L662">
        <v>1</v>
      </c>
      <c r="M662">
        <v>45</v>
      </c>
      <c r="N662" t="s">
        <v>59</v>
      </c>
      <c r="O662">
        <v>18</v>
      </c>
    </row>
    <row r="663" spans="1:15">
      <c r="A663" s="4">
        <v>46013</v>
      </c>
      <c r="B663" t="s">
        <v>67</v>
      </c>
      <c r="C663" t="s">
        <v>98</v>
      </c>
      <c r="D663">
        <v>2720</v>
      </c>
      <c r="E663" t="s">
        <v>74</v>
      </c>
      <c r="F663" t="s">
        <v>753</v>
      </c>
      <c r="G663" t="s">
        <v>46</v>
      </c>
      <c r="H663" t="s">
        <v>55</v>
      </c>
      <c r="I663" t="s">
        <v>64</v>
      </c>
      <c r="J663" t="s">
        <v>57</v>
      </c>
      <c r="K663" t="s">
        <v>66</v>
      </c>
      <c r="L663">
        <v>4</v>
      </c>
      <c r="M663">
        <v>45</v>
      </c>
      <c r="N663" t="s">
        <v>93</v>
      </c>
      <c r="O663">
        <v>17</v>
      </c>
    </row>
    <row r="664" spans="1:15">
      <c r="A664" s="4">
        <v>45792</v>
      </c>
      <c r="B664" t="s">
        <v>109</v>
      </c>
      <c r="C664" t="s">
        <v>73</v>
      </c>
      <c r="D664">
        <v>3420</v>
      </c>
      <c r="E664" t="s">
        <v>62</v>
      </c>
      <c r="F664" t="s">
        <v>754</v>
      </c>
      <c r="G664" t="s">
        <v>45</v>
      </c>
      <c r="H664" t="s">
        <v>70</v>
      </c>
      <c r="I664" t="s">
        <v>88</v>
      </c>
      <c r="J664" t="s">
        <v>65</v>
      </c>
      <c r="K664" t="s">
        <v>76</v>
      </c>
      <c r="L664">
        <v>5</v>
      </c>
      <c r="M664">
        <v>30</v>
      </c>
      <c r="N664" t="s">
        <v>93</v>
      </c>
      <c r="O664">
        <v>19</v>
      </c>
    </row>
    <row r="665" spans="1:15">
      <c r="A665" s="4">
        <v>45860</v>
      </c>
      <c r="B665" t="s">
        <v>67</v>
      </c>
      <c r="C665" t="s">
        <v>95</v>
      </c>
      <c r="D665">
        <v>1420</v>
      </c>
      <c r="E665" t="s">
        <v>74</v>
      </c>
      <c r="F665" t="s">
        <v>755</v>
      </c>
      <c r="G665" t="s">
        <v>46</v>
      </c>
      <c r="H665" t="s">
        <v>70</v>
      </c>
      <c r="I665" t="s">
        <v>84</v>
      </c>
      <c r="J665" t="s">
        <v>65</v>
      </c>
      <c r="K665" t="s">
        <v>58</v>
      </c>
      <c r="L665">
        <v>4</v>
      </c>
      <c r="M665">
        <v>45</v>
      </c>
      <c r="N665" t="s">
        <v>59</v>
      </c>
      <c r="O665">
        <v>4</v>
      </c>
    </row>
    <row r="666" spans="1:15">
      <c r="A666" s="4">
        <v>45762</v>
      </c>
      <c r="B666" t="s">
        <v>109</v>
      </c>
      <c r="C666" t="s">
        <v>81</v>
      </c>
      <c r="D666">
        <v>1210</v>
      </c>
      <c r="E666" t="s">
        <v>53</v>
      </c>
      <c r="F666" t="s">
        <v>756</v>
      </c>
      <c r="G666" t="s">
        <v>46</v>
      </c>
      <c r="H666" t="s">
        <v>70</v>
      </c>
      <c r="I666" t="s">
        <v>64</v>
      </c>
      <c r="J666" t="s">
        <v>57</v>
      </c>
      <c r="K666" t="s">
        <v>58</v>
      </c>
      <c r="L666">
        <v>2</v>
      </c>
      <c r="M666">
        <v>30</v>
      </c>
      <c r="N666" t="s">
        <v>71</v>
      </c>
      <c r="O666">
        <v>18</v>
      </c>
    </row>
    <row r="667" spans="1:15">
      <c r="A667" s="4">
        <v>45965</v>
      </c>
      <c r="B667" t="s">
        <v>101</v>
      </c>
      <c r="C667" t="s">
        <v>86</v>
      </c>
      <c r="D667">
        <v>4360</v>
      </c>
      <c r="E667" t="s">
        <v>53</v>
      </c>
      <c r="F667" t="s">
        <v>757</v>
      </c>
      <c r="G667" t="s">
        <v>46</v>
      </c>
      <c r="H667" t="s">
        <v>70</v>
      </c>
      <c r="I667" t="s">
        <v>84</v>
      </c>
      <c r="J667" t="s">
        <v>57</v>
      </c>
      <c r="K667" t="s">
        <v>66</v>
      </c>
      <c r="L667">
        <v>2</v>
      </c>
      <c r="M667">
        <v>90</v>
      </c>
      <c r="N667" t="s">
        <v>93</v>
      </c>
      <c r="O667">
        <v>19</v>
      </c>
    </row>
    <row r="668" spans="1:15">
      <c r="A668" s="4">
        <v>45753</v>
      </c>
      <c r="B668" t="s">
        <v>90</v>
      </c>
      <c r="C668" t="s">
        <v>114</v>
      </c>
      <c r="D668">
        <v>1520</v>
      </c>
      <c r="E668" t="s">
        <v>53</v>
      </c>
      <c r="F668" t="s">
        <v>758</v>
      </c>
      <c r="G668" t="s">
        <v>46</v>
      </c>
      <c r="H668" t="s">
        <v>70</v>
      </c>
      <c r="I668" t="s">
        <v>92</v>
      </c>
      <c r="J668" t="s">
        <v>57</v>
      </c>
      <c r="K668" t="s">
        <v>76</v>
      </c>
      <c r="L668">
        <v>1</v>
      </c>
      <c r="M668">
        <v>90</v>
      </c>
      <c r="N668" t="s">
        <v>93</v>
      </c>
      <c r="O668">
        <v>5</v>
      </c>
    </row>
    <row r="669" spans="1:15">
      <c r="A669" s="4">
        <v>45756</v>
      </c>
      <c r="B669" t="s">
        <v>116</v>
      </c>
      <c r="C669" t="s">
        <v>98</v>
      </c>
      <c r="D669">
        <v>4650</v>
      </c>
      <c r="E669" t="s">
        <v>53</v>
      </c>
      <c r="F669" t="s">
        <v>759</v>
      </c>
      <c r="G669" t="s">
        <v>46</v>
      </c>
      <c r="H669" t="s">
        <v>55</v>
      </c>
      <c r="I669" t="s">
        <v>56</v>
      </c>
      <c r="J669" t="s">
        <v>65</v>
      </c>
      <c r="K669" t="s">
        <v>66</v>
      </c>
      <c r="L669">
        <v>3</v>
      </c>
      <c r="M669">
        <v>30</v>
      </c>
      <c r="N669" t="s">
        <v>93</v>
      </c>
      <c r="O669">
        <v>12</v>
      </c>
    </row>
    <row r="670" spans="1:15">
      <c r="A670" s="4">
        <v>45668</v>
      </c>
      <c r="B670" t="s">
        <v>97</v>
      </c>
      <c r="C670" t="s">
        <v>98</v>
      </c>
      <c r="D670">
        <v>3650</v>
      </c>
      <c r="E670" t="s">
        <v>74</v>
      </c>
      <c r="F670" t="s">
        <v>760</v>
      </c>
      <c r="G670" t="s">
        <v>45</v>
      </c>
      <c r="H670" t="s">
        <v>55</v>
      </c>
      <c r="I670" t="s">
        <v>84</v>
      </c>
      <c r="J670" t="s">
        <v>57</v>
      </c>
      <c r="K670" t="s">
        <v>76</v>
      </c>
      <c r="L670">
        <v>2</v>
      </c>
      <c r="M670">
        <v>30</v>
      </c>
      <c r="N670" t="s">
        <v>71</v>
      </c>
      <c r="O670">
        <v>5</v>
      </c>
    </row>
    <row r="671" spans="1:15">
      <c r="A671" s="4">
        <v>45872</v>
      </c>
      <c r="B671" t="s">
        <v>90</v>
      </c>
      <c r="C671" t="s">
        <v>81</v>
      </c>
      <c r="D671">
        <v>410</v>
      </c>
      <c r="E671" t="s">
        <v>74</v>
      </c>
      <c r="F671" t="s">
        <v>761</v>
      </c>
      <c r="G671" t="s">
        <v>46</v>
      </c>
      <c r="H671" t="s">
        <v>70</v>
      </c>
      <c r="I671" t="s">
        <v>79</v>
      </c>
      <c r="J671" t="s">
        <v>57</v>
      </c>
      <c r="K671" t="s">
        <v>58</v>
      </c>
      <c r="L671">
        <v>4</v>
      </c>
      <c r="M671">
        <v>30</v>
      </c>
      <c r="N671" t="s">
        <v>71</v>
      </c>
      <c r="O671">
        <v>6</v>
      </c>
    </row>
    <row r="672" spans="1:15">
      <c r="A672" s="4">
        <v>45739</v>
      </c>
      <c r="B672" t="s">
        <v>72</v>
      </c>
      <c r="C672" t="s">
        <v>77</v>
      </c>
      <c r="D672">
        <v>2600</v>
      </c>
      <c r="E672" t="s">
        <v>53</v>
      </c>
      <c r="F672" t="s">
        <v>762</v>
      </c>
      <c r="G672" t="s">
        <v>45</v>
      </c>
      <c r="H672" t="s">
        <v>55</v>
      </c>
      <c r="I672" t="s">
        <v>79</v>
      </c>
      <c r="J672" t="s">
        <v>57</v>
      </c>
      <c r="K672" t="s">
        <v>76</v>
      </c>
      <c r="L672">
        <v>4</v>
      </c>
      <c r="M672">
        <v>30</v>
      </c>
      <c r="N672" t="s">
        <v>71</v>
      </c>
      <c r="O672">
        <v>5</v>
      </c>
    </row>
    <row r="673" spans="1:15">
      <c r="A673" s="4">
        <v>45947</v>
      </c>
      <c r="B673" t="s">
        <v>94</v>
      </c>
      <c r="C673" t="s">
        <v>73</v>
      </c>
      <c r="D673">
        <v>3150</v>
      </c>
      <c r="E673" t="s">
        <v>53</v>
      </c>
      <c r="F673" t="s">
        <v>763</v>
      </c>
      <c r="G673" t="s">
        <v>45</v>
      </c>
      <c r="H673" t="s">
        <v>55</v>
      </c>
      <c r="I673" t="s">
        <v>92</v>
      </c>
      <c r="J673" t="s">
        <v>65</v>
      </c>
      <c r="K673" t="s">
        <v>66</v>
      </c>
      <c r="L673">
        <v>3</v>
      </c>
      <c r="M673">
        <v>90</v>
      </c>
      <c r="N673" t="s">
        <v>93</v>
      </c>
      <c r="O673">
        <v>9</v>
      </c>
    </row>
    <row r="674" spans="1:15">
      <c r="A674" s="4">
        <v>45669</v>
      </c>
      <c r="B674" t="s">
        <v>72</v>
      </c>
      <c r="C674" t="s">
        <v>95</v>
      </c>
      <c r="D674">
        <v>810</v>
      </c>
      <c r="E674" t="s">
        <v>62</v>
      </c>
      <c r="F674" t="s">
        <v>764</v>
      </c>
      <c r="G674" t="s">
        <v>45</v>
      </c>
      <c r="H674" t="s">
        <v>55</v>
      </c>
      <c r="I674" t="s">
        <v>64</v>
      </c>
      <c r="J674" t="s">
        <v>57</v>
      </c>
      <c r="K674" t="s">
        <v>66</v>
      </c>
      <c r="L674">
        <v>5</v>
      </c>
      <c r="M674">
        <v>90</v>
      </c>
      <c r="N674" t="s">
        <v>93</v>
      </c>
      <c r="O674">
        <v>4</v>
      </c>
    </row>
    <row r="675" spans="1:15">
      <c r="A675" s="4">
        <v>45868</v>
      </c>
      <c r="B675" t="s">
        <v>90</v>
      </c>
      <c r="C675" t="s">
        <v>61</v>
      </c>
      <c r="D675">
        <v>4570</v>
      </c>
      <c r="E675" t="s">
        <v>62</v>
      </c>
      <c r="F675" t="s">
        <v>765</v>
      </c>
      <c r="G675" t="s">
        <v>45</v>
      </c>
      <c r="H675" t="s">
        <v>55</v>
      </c>
      <c r="I675" t="s">
        <v>79</v>
      </c>
      <c r="J675" t="s">
        <v>65</v>
      </c>
      <c r="K675" t="s">
        <v>58</v>
      </c>
      <c r="L675">
        <v>5</v>
      </c>
      <c r="M675">
        <v>45</v>
      </c>
      <c r="N675" t="s">
        <v>93</v>
      </c>
      <c r="O675">
        <v>8</v>
      </c>
    </row>
    <row r="676" spans="1:15">
      <c r="A676" s="4">
        <v>45802</v>
      </c>
      <c r="B676" t="s">
        <v>109</v>
      </c>
      <c r="C676" t="s">
        <v>68</v>
      </c>
      <c r="D676">
        <v>2520</v>
      </c>
      <c r="E676" t="s">
        <v>74</v>
      </c>
      <c r="F676" t="s">
        <v>766</v>
      </c>
      <c r="G676" t="s">
        <v>46</v>
      </c>
      <c r="H676" t="s">
        <v>55</v>
      </c>
      <c r="I676" t="s">
        <v>56</v>
      </c>
      <c r="J676" t="s">
        <v>57</v>
      </c>
      <c r="K676" t="s">
        <v>66</v>
      </c>
      <c r="L676">
        <v>3</v>
      </c>
      <c r="M676">
        <v>30</v>
      </c>
      <c r="N676" t="s">
        <v>71</v>
      </c>
      <c r="O676">
        <v>19</v>
      </c>
    </row>
    <row r="677" spans="1:15">
      <c r="A677" s="4">
        <v>46004</v>
      </c>
      <c r="B677" t="s">
        <v>67</v>
      </c>
      <c r="C677" t="s">
        <v>61</v>
      </c>
      <c r="D677">
        <v>1210</v>
      </c>
      <c r="E677" t="s">
        <v>62</v>
      </c>
      <c r="F677" t="s">
        <v>767</v>
      </c>
      <c r="G677" t="s">
        <v>46</v>
      </c>
      <c r="H677" t="s">
        <v>70</v>
      </c>
      <c r="I677" t="s">
        <v>92</v>
      </c>
      <c r="J677" t="s">
        <v>65</v>
      </c>
      <c r="K677" t="s">
        <v>58</v>
      </c>
      <c r="L677">
        <v>1</v>
      </c>
      <c r="M677">
        <v>30</v>
      </c>
      <c r="N677" t="s">
        <v>93</v>
      </c>
      <c r="O677">
        <v>19</v>
      </c>
    </row>
    <row r="678" spans="1:15">
      <c r="A678" s="4">
        <v>45810</v>
      </c>
      <c r="B678" t="s">
        <v>109</v>
      </c>
      <c r="C678" t="s">
        <v>68</v>
      </c>
      <c r="D678">
        <v>1210</v>
      </c>
      <c r="E678" t="s">
        <v>53</v>
      </c>
      <c r="F678" t="s">
        <v>768</v>
      </c>
      <c r="G678" t="s">
        <v>45</v>
      </c>
      <c r="H678" t="s">
        <v>55</v>
      </c>
      <c r="I678" t="s">
        <v>79</v>
      </c>
      <c r="J678" t="s">
        <v>65</v>
      </c>
      <c r="K678" t="s">
        <v>76</v>
      </c>
      <c r="L678">
        <v>1</v>
      </c>
      <c r="M678">
        <v>30</v>
      </c>
      <c r="N678" t="s">
        <v>71</v>
      </c>
      <c r="O678">
        <v>9</v>
      </c>
    </row>
    <row r="679" spans="1:15">
      <c r="A679" s="4">
        <v>45777</v>
      </c>
      <c r="B679" t="s">
        <v>85</v>
      </c>
      <c r="C679" t="s">
        <v>68</v>
      </c>
      <c r="D679">
        <v>540</v>
      </c>
      <c r="E679" t="s">
        <v>62</v>
      </c>
      <c r="F679" t="s">
        <v>769</v>
      </c>
      <c r="G679" t="s">
        <v>46</v>
      </c>
      <c r="H679" t="s">
        <v>55</v>
      </c>
      <c r="I679" t="s">
        <v>88</v>
      </c>
      <c r="J679" t="s">
        <v>65</v>
      </c>
      <c r="K679" t="s">
        <v>76</v>
      </c>
      <c r="L679">
        <v>4</v>
      </c>
      <c r="M679">
        <v>30</v>
      </c>
      <c r="N679" t="s">
        <v>93</v>
      </c>
      <c r="O679">
        <v>17</v>
      </c>
    </row>
    <row r="680" spans="1:15">
      <c r="A680" s="4">
        <v>45742</v>
      </c>
      <c r="B680" t="s">
        <v>72</v>
      </c>
      <c r="C680" t="s">
        <v>61</v>
      </c>
      <c r="D680">
        <v>2080</v>
      </c>
      <c r="E680" t="s">
        <v>53</v>
      </c>
      <c r="F680" t="s">
        <v>770</v>
      </c>
      <c r="G680" t="s">
        <v>46</v>
      </c>
      <c r="H680" t="s">
        <v>70</v>
      </c>
      <c r="I680" t="s">
        <v>88</v>
      </c>
      <c r="J680" t="s">
        <v>65</v>
      </c>
      <c r="K680" t="s">
        <v>76</v>
      </c>
      <c r="L680">
        <v>3</v>
      </c>
      <c r="M680">
        <v>60</v>
      </c>
      <c r="N680" t="s">
        <v>71</v>
      </c>
      <c r="O680">
        <v>5</v>
      </c>
    </row>
    <row r="681" spans="1:15">
      <c r="A681" s="4">
        <v>45782</v>
      </c>
      <c r="B681" t="s">
        <v>101</v>
      </c>
      <c r="C681" t="s">
        <v>114</v>
      </c>
      <c r="D681">
        <v>2130</v>
      </c>
      <c r="E681" t="s">
        <v>62</v>
      </c>
      <c r="F681" t="s">
        <v>771</v>
      </c>
      <c r="G681" t="s">
        <v>46</v>
      </c>
      <c r="H681" t="s">
        <v>55</v>
      </c>
      <c r="I681" t="s">
        <v>79</v>
      </c>
      <c r="J681" t="s">
        <v>57</v>
      </c>
      <c r="K681" t="s">
        <v>58</v>
      </c>
      <c r="L681">
        <v>1</v>
      </c>
      <c r="M681">
        <v>30</v>
      </c>
      <c r="N681" t="s">
        <v>71</v>
      </c>
      <c r="O681">
        <v>3</v>
      </c>
    </row>
    <row r="682" spans="1:15">
      <c r="A682" s="4">
        <v>45709</v>
      </c>
      <c r="B682" t="s">
        <v>116</v>
      </c>
      <c r="C682" t="s">
        <v>86</v>
      </c>
      <c r="D682">
        <v>2870</v>
      </c>
      <c r="E682" t="s">
        <v>53</v>
      </c>
      <c r="F682" t="s">
        <v>772</v>
      </c>
      <c r="G682" t="s">
        <v>45</v>
      </c>
      <c r="H682" t="s">
        <v>70</v>
      </c>
      <c r="I682" t="s">
        <v>92</v>
      </c>
      <c r="J682" t="s">
        <v>57</v>
      </c>
      <c r="K682" t="s">
        <v>58</v>
      </c>
      <c r="L682">
        <v>2</v>
      </c>
      <c r="M682">
        <v>45</v>
      </c>
      <c r="N682" t="s">
        <v>59</v>
      </c>
      <c r="O682">
        <v>13</v>
      </c>
    </row>
    <row r="683" spans="1:15">
      <c r="A683" s="4">
        <v>45725</v>
      </c>
      <c r="B683" t="s">
        <v>90</v>
      </c>
      <c r="C683" t="s">
        <v>77</v>
      </c>
      <c r="D683">
        <v>1380</v>
      </c>
      <c r="E683" t="s">
        <v>53</v>
      </c>
      <c r="F683" t="s">
        <v>773</v>
      </c>
      <c r="G683" t="s">
        <v>46</v>
      </c>
      <c r="H683" t="s">
        <v>55</v>
      </c>
      <c r="I683" t="s">
        <v>84</v>
      </c>
      <c r="J683" t="s">
        <v>57</v>
      </c>
      <c r="K683" t="s">
        <v>58</v>
      </c>
      <c r="L683">
        <v>2</v>
      </c>
      <c r="M683">
        <v>30</v>
      </c>
      <c r="N683" t="s">
        <v>93</v>
      </c>
      <c r="O683">
        <v>20</v>
      </c>
    </row>
    <row r="684" spans="1:15">
      <c r="A684" s="4">
        <v>45759</v>
      </c>
      <c r="B684" t="s">
        <v>85</v>
      </c>
      <c r="C684" t="s">
        <v>77</v>
      </c>
      <c r="D684">
        <v>3930</v>
      </c>
      <c r="E684" t="s">
        <v>62</v>
      </c>
      <c r="F684" t="s">
        <v>774</v>
      </c>
      <c r="G684" t="s">
        <v>45</v>
      </c>
      <c r="H684" t="s">
        <v>70</v>
      </c>
      <c r="I684" t="s">
        <v>84</v>
      </c>
      <c r="J684" t="s">
        <v>65</v>
      </c>
      <c r="K684" t="s">
        <v>76</v>
      </c>
      <c r="L684">
        <v>4</v>
      </c>
      <c r="M684">
        <v>90</v>
      </c>
      <c r="N684" t="s">
        <v>93</v>
      </c>
      <c r="O684">
        <v>9</v>
      </c>
    </row>
    <row r="685" spans="1:15">
      <c r="A685" s="4">
        <v>45791</v>
      </c>
      <c r="B685" t="s">
        <v>109</v>
      </c>
      <c r="C685" t="s">
        <v>52</v>
      </c>
      <c r="D685">
        <v>510</v>
      </c>
      <c r="E685" t="s">
        <v>53</v>
      </c>
      <c r="F685" t="s">
        <v>775</v>
      </c>
      <c r="G685" t="s">
        <v>46</v>
      </c>
      <c r="H685" t="s">
        <v>70</v>
      </c>
      <c r="I685" t="s">
        <v>79</v>
      </c>
      <c r="J685" t="s">
        <v>57</v>
      </c>
      <c r="K685" t="s">
        <v>66</v>
      </c>
      <c r="L685">
        <v>3</v>
      </c>
      <c r="M685">
        <v>45</v>
      </c>
      <c r="N685" t="s">
        <v>59</v>
      </c>
      <c r="O685">
        <v>18</v>
      </c>
    </row>
    <row r="686" spans="1:15">
      <c r="A686" s="4">
        <v>45666</v>
      </c>
      <c r="B686" t="s">
        <v>51</v>
      </c>
      <c r="C686" t="s">
        <v>95</v>
      </c>
      <c r="D686">
        <v>3810</v>
      </c>
      <c r="E686" t="s">
        <v>53</v>
      </c>
      <c r="F686" t="s">
        <v>776</v>
      </c>
      <c r="G686" t="s">
        <v>46</v>
      </c>
      <c r="H686" t="s">
        <v>70</v>
      </c>
      <c r="I686" t="s">
        <v>64</v>
      </c>
      <c r="J686" t="s">
        <v>57</v>
      </c>
      <c r="K686" t="s">
        <v>58</v>
      </c>
      <c r="L686">
        <v>2</v>
      </c>
      <c r="M686">
        <v>30</v>
      </c>
      <c r="N686" t="s">
        <v>71</v>
      </c>
      <c r="O686">
        <v>17</v>
      </c>
    </row>
    <row r="687" spans="1:15">
      <c r="A687" s="4">
        <v>46011</v>
      </c>
      <c r="B687" t="s">
        <v>72</v>
      </c>
      <c r="C687" t="s">
        <v>114</v>
      </c>
      <c r="D687">
        <v>1300</v>
      </c>
      <c r="E687" t="s">
        <v>53</v>
      </c>
      <c r="F687" t="s">
        <v>777</v>
      </c>
      <c r="G687" t="s">
        <v>45</v>
      </c>
      <c r="H687" t="s">
        <v>70</v>
      </c>
      <c r="I687" t="s">
        <v>92</v>
      </c>
      <c r="J687" t="s">
        <v>57</v>
      </c>
      <c r="K687" t="s">
        <v>76</v>
      </c>
      <c r="L687">
        <v>5</v>
      </c>
      <c r="M687">
        <v>60</v>
      </c>
      <c r="N687" t="s">
        <v>93</v>
      </c>
      <c r="O687">
        <v>3</v>
      </c>
    </row>
    <row r="688" spans="1:15">
      <c r="A688" s="4">
        <v>45800</v>
      </c>
      <c r="B688" t="s">
        <v>97</v>
      </c>
      <c r="C688" t="s">
        <v>95</v>
      </c>
      <c r="D688">
        <v>4350</v>
      </c>
      <c r="E688" t="s">
        <v>53</v>
      </c>
      <c r="F688" t="s">
        <v>778</v>
      </c>
      <c r="G688" t="s">
        <v>45</v>
      </c>
      <c r="H688" t="s">
        <v>70</v>
      </c>
      <c r="I688" t="s">
        <v>84</v>
      </c>
      <c r="J688" t="s">
        <v>57</v>
      </c>
      <c r="K688" t="s">
        <v>66</v>
      </c>
      <c r="L688">
        <v>4</v>
      </c>
      <c r="M688">
        <v>90</v>
      </c>
      <c r="N688" t="s">
        <v>93</v>
      </c>
      <c r="O688">
        <v>3</v>
      </c>
    </row>
    <row r="689" spans="1:15">
      <c r="A689" s="4">
        <v>45847</v>
      </c>
      <c r="B689" t="s">
        <v>80</v>
      </c>
      <c r="C689" t="s">
        <v>77</v>
      </c>
      <c r="D689">
        <v>3140</v>
      </c>
      <c r="E689" t="s">
        <v>62</v>
      </c>
      <c r="F689" t="s">
        <v>779</v>
      </c>
      <c r="G689" t="s">
        <v>46</v>
      </c>
      <c r="H689" t="s">
        <v>55</v>
      </c>
      <c r="I689" t="s">
        <v>92</v>
      </c>
      <c r="J689" t="s">
        <v>65</v>
      </c>
      <c r="K689" t="s">
        <v>66</v>
      </c>
      <c r="L689">
        <v>4</v>
      </c>
      <c r="M689">
        <v>45</v>
      </c>
      <c r="N689" t="s">
        <v>59</v>
      </c>
      <c r="O689">
        <v>16</v>
      </c>
    </row>
    <row r="690" spans="1:15">
      <c r="A690" s="4">
        <v>45921</v>
      </c>
      <c r="B690" t="s">
        <v>101</v>
      </c>
      <c r="C690" t="s">
        <v>98</v>
      </c>
      <c r="D690">
        <v>750</v>
      </c>
      <c r="E690" t="s">
        <v>53</v>
      </c>
      <c r="F690" t="s">
        <v>780</v>
      </c>
      <c r="G690" t="s">
        <v>45</v>
      </c>
      <c r="H690" t="s">
        <v>55</v>
      </c>
      <c r="I690" t="s">
        <v>79</v>
      </c>
      <c r="J690" t="s">
        <v>57</v>
      </c>
      <c r="K690" t="s">
        <v>58</v>
      </c>
      <c r="L690">
        <v>3</v>
      </c>
      <c r="M690">
        <v>60</v>
      </c>
      <c r="N690" t="s">
        <v>59</v>
      </c>
      <c r="O690">
        <v>4</v>
      </c>
    </row>
    <row r="691" spans="1:15">
      <c r="A691" s="4">
        <v>45968</v>
      </c>
      <c r="B691" t="s">
        <v>90</v>
      </c>
      <c r="C691" t="s">
        <v>81</v>
      </c>
      <c r="D691">
        <v>3340</v>
      </c>
      <c r="E691" t="s">
        <v>62</v>
      </c>
      <c r="F691" t="s">
        <v>781</v>
      </c>
      <c r="G691" t="s">
        <v>45</v>
      </c>
      <c r="H691" t="s">
        <v>70</v>
      </c>
      <c r="I691" t="s">
        <v>92</v>
      </c>
      <c r="J691" t="s">
        <v>57</v>
      </c>
      <c r="K691" t="s">
        <v>58</v>
      </c>
      <c r="L691">
        <v>1</v>
      </c>
      <c r="M691">
        <v>30</v>
      </c>
      <c r="N691" t="s">
        <v>93</v>
      </c>
      <c r="O691">
        <v>4</v>
      </c>
    </row>
    <row r="692" spans="1:15">
      <c r="A692" s="4">
        <v>46003</v>
      </c>
      <c r="B692" t="s">
        <v>67</v>
      </c>
      <c r="C692" t="s">
        <v>95</v>
      </c>
      <c r="D692">
        <v>2020</v>
      </c>
      <c r="E692" t="s">
        <v>62</v>
      </c>
      <c r="F692" t="s">
        <v>782</v>
      </c>
      <c r="G692" t="s">
        <v>46</v>
      </c>
      <c r="H692" t="s">
        <v>70</v>
      </c>
      <c r="I692" t="s">
        <v>84</v>
      </c>
      <c r="J692" t="s">
        <v>65</v>
      </c>
      <c r="K692" t="s">
        <v>66</v>
      </c>
      <c r="L692">
        <v>2</v>
      </c>
      <c r="M692">
        <v>45</v>
      </c>
      <c r="N692" t="s">
        <v>93</v>
      </c>
      <c r="O692">
        <v>11</v>
      </c>
    </row>
    <row r="693" spans="1:15">
      <c r="A693" s="4">
        <v>45913</v>
      </c>
      <c r="B693" t="s">
        <v>97</v>
      </c>
      <c r="C693" t="s">
        <v>77</v>
      </c>
      <c r="D693">
        <v>920</v>
      </c>
      <c r="E693" t="s">
        <v>74</v>
      </c>
      <c r="F693" t="s">
        <v>783</v>
      </c>
      <c r="G693" t="s">
        <v>46</v>
      </c>
      <c r="H693" t="s">
        <v>55</v>
      </c>
      <c r="I693" t="s">
        <v>79</v>
      </c>
      <c r="J693" t="s">
        <v>65</v>
      </c>
      <c r="K693" t="s">
        <v>66</v>
      </c>
      <c r="L693">
        <v>3</v>
      </c>
      <c r="M693">
        <v>45</v>
      </c>
      <c r="N693" t="s">
        <v>59</v>
      </c>
      <c r="O693">
        <v>12</v>
      </c>
    </row>
    <row r="694" spans="1:15">
      <c r="A694" s="4">
        <v>45969</v>
      </c>
      <c r="B694" t="s">
        <v>97</v>
      </c>
      <c r="C694" t="s">
        <v>114</v>
      </c>
      <c r="D694">
        <v>940</v>
      </c>
      <c r="E694" t="s">
        <v>62</v>
      </c>
      <c r="F694" t="s">
        <v>784</v>
      </c>
      <c r="G694" t="s">
        <v>46</v>
      </c>
      <c r="H694" t="s">
        <v>55</v>
      </c>
      <c r="I694" t="s">
        <v>79</v>
      </c>
      <c r="J694" t="s">
        <v>65</v>
      </c>
      <c r="K694" t="s">
        <v>58</v>
      </c>
      <c r="L694">
        <v>1</v>
      </c>
      <c r="M694">
        <v>30</v>
      </c>
      <c r="N694" t="s">
        <v>71</v>
      </c>
      <c r="O694">
        <v>13</v>
      </c>
    </row>
    <row r="695" spans="1:15">
      <c r="A695" s="4">
        <v>45932</v>
      </c>
      <c r="B695" t="s">
        <v>109</v>
      </c>
      <c r="C695" t="s">
        <v>114</v>
      </c>
      <c r="D695">
        <v>500</v>
      </c>
      <c r="E695" t="s">
        <v>62</v>
      </c>
      <c r="F695" t="s">
        <v>785</v>
      </c>
      <c r="G695" t="s">
        <v>45</v>
      </c>
      <c r="H695" t="s">
        <v>70</v>
      </c>
      <c r="I695" t="s">
        <v>79</v>
      </c>
      <c r="J695" t="s">
        <v>57</v>
      </c>
      <c r="K695" t="s">
        <v>66</v>
      </c>
      <c r="L695">
        <v>3</v>
      </c>
      <c r="M695">
        <v>45</v>
      </c>
      <c r="N695" t="s">
        <v>59</v>
      </c>
      <c r="O695">
        <v>14</v>
      </c>
    </row>
    <row r="696" spans="1:15">
      <c r="A696" s="4">
        <v>45961</v>
      </c>
      <c r="B696" t="s">
        <v>51</v>
      </c>
      <c r="C696" t="s">
        <v>73</v>
      </c>
      <c r="D696">
        <v>4230</v>
      </c>
      <c r="E696" t="s">
        <v>53</v>
      </c>
      <c r="F696" t="s">
        <v>786</v>
      </c>
      <c r="G696" t="s">
        <v>45</v>
      </c>
      <c r="H696" t="s">
        <v>55</v>
      </c>
      <c r="I696" t="s">
        <v>92</v>
      </c>
      <c r="J696" t="s">
        <v>65</v>
      </c>
      <c r="K696" t="s">
        <v>76</v>
      </c>
      <c r="L696">
        <v>4</v>
      </c>
      <c r="M696">
        <v>30</v>
      </c>
      <c r="N696" t="s">
        <v>93</v>
      </c>
      <c r="O696">
        <v>16</v>
      </c>
    </row>
    <row r="697" spans="1:15">
      <c r="A697" s="4">
        <v>45746</v>
      </c>
      <c r="B697" t="s">
        <v>80</v>
      </c>
      <c r="C697" t="s">
        <v>95</v>
      </c>
      <c r="D697">
        <v>420</v>
      </c>
      <c r="E697" t="s">
        <v>53</v>
      </c>
      <c r="F697" t="s">
        <v>787</v>
      </c>
      <c r="G697" t="s">
        <v>46</v>
      </c>
      <c r="H697" t="s">
        <v>55</v>
      </c>
      <c r="I697" t="s">
        <v>56</v>
      </c>
      <c r="J697" t="s">
        <v>65</v>
      </c>
      <c r="K697" t="s">
        <v>76</v>
      </c>
      <c r="L697">
        <v>3</v>
      </c>
      <c r="M697">
        <v>90</v>
      </c>
      <c r="N697" t="s">
        <v>93</v>
      </c>
      <c r="O697">
        <v>18</v>
      </c>
    </row>
    <row r="698" spans="1:15">
      <c r="A698" s="4">
        <v>45732</v>
      </c>
      <c r="B698" t="s">
        <v>85</v>
      </c>
      <c r="C698" t="s">
        <v>77</v>
      </c>
      <c r="D698">
        <v>1960</v>
      </c>
      <c r="E698" t="s">
        <v>74</v>
      </c>
      <c r="F698" t="s">
        <v>788</v>
      </c>
      <c r="G698" t="s">
        <v>46</v>
      </c>
      <c r="H698" t="s">
        <v>70</v>
      </c>
      <c r="I698" t="s">
        <v>79</v>
      </c>
      <c r="J698" t="s">
        <v>65</v>
      </c>
      <c r="K698" t="s">
        <v>58</v>
      </c>
      <c r="L698">
        <v>5</v>
      </c>
      <c r="M698">
        <v>45</v>
      </c>
      <c r="N698" t="s">
        <v>93</v>
      </c>
      <c r="O698">
        <v>6</v>
      </c>
    </row>
    <row r="699" spans="1:15">
      <c r="A699" s="4">
        <v>45685</v>
      </c>
      <c r="B699" t="s">
        <v>85</v>
      </c>
      <c r="C699" t="s">
        <v>98</v>
      </c>
      <c r="D699">
        <v>3400</v>
      </c>
      <c r="E699" t="s">
        <v>62</v>
      </c>
      <c r="F699" t="s">
        <v>789</v>
      </c>
      <c r="G699" t="s">
        <v>45</v>
      </c>
      <c r="H699" t="s">
        <v>55</v>
      </c>
      <c r="I699" t="s">
        <v>56</v>
      </c>
      <c r="J699" t="s">
        <v>57</v>
      </c>
      <c r="K699" t="s">
        <v>66</v>
      </c>
      <c r="L699">
        <v>3</v>
      </c>
      <c r="M699">
        <v>30</v>
      </c>
      <c r="N699" t="s">
        <v>71</v>
      </c>
      <c r="O699">
        <v>10</v>
      </c>
    </row>
    <row r="700" spans="1:15">
      <c r="A700" s="4">
        <v>45713</v>
      </c>
      <c r="B700" t="s">
        <v>80</v>
      </c>
      <c r="C700" t="s">
        <v>52</v>
      </c>
      <c r="D700">
        <v>160</v>
      </c>
      <c r="E700" t="s">
        <v>74</v>
      </c>
      <c r="F700" t="s">
        <v>790</v>
      </c>
      <c r="G700" t="s">
        <v>45</v>
      </c>
      <c r="H700" t="s">
        <v>70</v>
      </c>
      <c r="I700" t="s">
        <v>56</v>
      </c>
      <c r="J700" t="s">
        <v>57</v>
      </c>
      <c r="K700" t="s">
        <v>76</v>
      </c>
      <c r="L700">
        <v>1</v>
      </c>
      <c r="M700">
        <v>30</v>
      </c>
      <c r="N700" t="s">
        <v>59</v>
      </c>
      <c r="O700">
        <v>15</v>
      </c>
    </row>
    <row r="701" spans="1:15">
      <c r="A701" s="4">
        <v>45941</v>
      </c>
      <c r="B701" t="s">
        <v>94</v>
      </c>
      <c r="C701" t="s">
        <v>77</v>
      </c>
      <c r="D701">
        <v>490</v>
      </c>
      <c r="E701" t="s">
        <v>62</v>
      </c>
      <c r="F701" t="s">
        <v>791</v>
      </c>
      <c r="G701" t="s">
        <v>45</v>
      </c>
      <c r="H701" t="s">
        <v>55</v>
      </c>
      <c r="I701" t="s">
        <v>92</v>
      </c>
      <c r="J701" t="s">
        <v>65</v>
      </c>
      <c r="K701" t="s">
        <v>66</v>
      </c>
      <c r="L701">
        <v>2</v>
      </c>
      <c r="M701">
        <v>30</v>
      </c>
      <c r="N701" t="s">
        <v>71</v>
      </c>
      <c r="O701">
        <v>8</v>
      </c>
    </row>
    <row r="702" spans="1:15">
      <c r="A702" s="4">
        <v>45701</v>
      </c>
      <c r="B702" t="s">
        <v>85</v>
      </c>
      <c r="C702" t="s">
        <v>77</v>
      </c>
      <c r="D702">
        <v>3860</v>
      </c>
      <c r="E702" t="s">
        <v>74</v>
      </c>
      <c r="F702" t="s">
        <v>792</v>
      </c>
      <c r="G702" t="s">
        <v>46</v>
      </c>
      <c r="H702" t="s">
        <v>70</v>
      </c>
      <c r="I702" t="s">
        <v>88</v>
      </c>
      <c r="J702" t="s">
        <v>65</v>
      </c>
      <c r="K702" t="s">
        <v>76</v>
      </c>
      <c r="L702">
        <v>1</v>
      </c>
      <c r="M702">
        <v>60</v>
      </c>
      <c r="N702" t="s">
        <v>71</v>
      </c>
      <c r="O702">
        <v>19</v>
      </c>
    </row>
    <row r="703" spans="1:15">
      <c r="A703" s="4">
        <v>45936</v>
      </c>
      <c r="B703" t="s">
        <v>97</v>
      </c>
      <c r="C703" t="s">
        <v>81</v>
      </c>
      <c r="D703">
        <v>1080</v>
      </c>
      <c r="E703" t="s">
        <v>74</v>
      </c>
      <c r="F703" t="s">
        <v>793</v>
      </c>
      <c r="G703" t="s">
        <v>45</v>
      </c>
      <c r="H703" t="s">
        <v>70</v>
      </c>
      <c r="I703" t="s">
        <v>84</v>
      </c>
      <c r="J703" t="s">
        <v>65</v>
      </c>
      <c r="K703" t="s">
        <v>58</v>
      </c>
      <c r="L703">
        <v>2</v>
      </c>
      <c r="M703">
        <v>60</v>
      </c>
      <c r="N703" t="s">
        <v>93</v>
      </c>
      <c r="O703">
        <v>5</v>
      </c>
    </row>
    <row r="704" spans="1:15">
      <c r="A704" s="4">
        <v>45784</v>
      </c>
      <c r="B704" t="s">
        <v>51</v>
      </c>
      <c r="C704" t="s">
        <v>86</v>
      </c>
      <c r="D704">
        <v>3980</v>
      </c>
      <c r="E704" t="s">
        <v>74</v>
      </c>
      <c r="F704" t="s">
        <v>794</v>
      </c>
      <c r="G704" t="s">
        <v>46</v>
      </c>
      <c r="H704" t="s">
        <v>55</v>
      </c>
      <c r="I704" t="s">
        <v>84</v>
      </c>
      <c r="J704" t="s">
        <v>65</v>
      </c>
      <c r="K704" t="s">
        <v>58</v>
      </c>
      <c r="L704">
        <v>3</v>
      </c>
      <c r="M704">
        <v>90</v>
      </c>
      <c r="N704" t="s">
        <v>93</v>
      </c>
      <c r="O704">
        <v>13</v>
      </c>
    </row>
    <row r="705" spans="1:15">
      <c r="A705" s="4">
        <v>45692</v>
      </c>
      <c r="B705" t="s">
        <v>90</v>
      </c>
      <c r="C705" t="s">
        <v>81</v>
      </c>
      <c r="D705">
        <v>670</v>
      </c>
      <c r="E705" t="s">
        <v>74</v>
      </c>
      <c r="F705" t="s">
        <v>795</v>
      </c>
      <c r="G705" t="s">
        <v>45</v>
      </c>
      <c r="H705" t="s">
        <v>55</v>
      </c>
      <c r="I705" t="s">
        <v>79</v>
      </c>
      <c r="J705" t="s">
        <v>65</v>
      </c>
      <c r="K705" t="s">
        <v>66</v>
      </c>
      <c r="L705">
        <v>2</v>
      </c>
      <c r="M705">
        <v>60</v>
      </c>
      <c r="N705" t="s">
        <v>93</v>
      </c>
      <c r="O705">
        <v>7</v>
      </c>
    </row>
    <row r="706" spans="1:15">
      <c r="A706" s="4">
        <v>45932</v>
      </c>
      <c r="B706" t="s">
        <v>97</v>
      </c>
      <c r="C706" t="s">
        <v>98</v>
      </c>
      <c r="D706">
        <v>1770</v>
      </c>
      <c r="E706" t="s">
        <v>74</v>
      </c>
      <c r="F706" t="s">
        <v>796</v>
      </c>
      <c r="G706" t="s">
        <v>45</v>
      </c>
      <c r="H706" t="s">
        <v>55</v>
      </c>
      <c r="I706" t="s">
        <v>88</v>
      </c>
      <c r="J706" t="s">
        <v>65</v>
      </c>
      <c r="K706" t="s">
        <v>76</v>
      </c>
      <c r="L706">
        <v>3</v>
      </c>
      <c r="M706">
        <v>60</v>
      </c>
      <c r="N706" t="s">
        <v>71</v>
      </c>
      <c r="O706">
        <v>15</v>
      </c>
    </row>
    <row r="707" spans="1:15">
      <c r="A707" s="4">
        <v>45865</v>
      </c>
      <c r="B707" t="s">
        <v>109</v>
      </c>
      <c r="C707" t="s">
        <v>81</v>
      </c>
      <c r="D707">
        <v>3850</v>
      </c>
      <c r="E707" t="s">
        <v>62</v>
      </c>
      <c r="F707" t="s">
        <v>797</v>
      </c>
      <c r="G707" t="s">
        <v>45</v>
      </c>
      <c r="H707" t="s">
        <v>55</v>
      </c>
      <c r="I707" t="s">
        <v>56</v>
      </c>
      <c r="J707" t="s">
        <v>57</v>
      </c>
      <c r="K707" t="s">
        <v>66</v>
      </c>
      <c r="L707">
        <v>3</v>
      </c>
      <c r="M707">
        <v>60</v>
      </c>
      <c r="N707" t="s">
        <v>93</v>
      </c>
      <c r="O707">
        <v>12</v>
      </c>
    </row>
    <row r="708" spans="1:15">
      <c r="A708" s="4">
        <v>45920</v>
      </c>
      <c r="B708" t="s">
        <v>51</v>
      </c>
      <c r="C708" t="s">
        <v>68</v>
      </c>
      <c r="D708">
        <v>4980</v>
      </c>
      <c r="E708" t="s">
        <v>74</v>
      </c>
      <c r="F708" t="s">
        <v>798</v>
      </c>
      <c r="G708" t="s">
        <v>46</v>
      </c>
      <c r="H708" t="s">
        <v>55</v>
      </c>
      <c r="I708" t="s">
        <v>64</v>
      </c>
      <c r="J708" t="s">
        <v>57</v>
      </c>
      <c r="K708" t="s">
        <v>76</v>
      </c>
      <c r="L708">
        <v>4</v>
      </c>
      <c r="M708">
        <v>30</v>
      </c>
      <c r="N708" t="s">
        <v>93</v>
      </c>
      <c r="O708">
        <v>11</v>
      </c>
    </row>
    <row r="709" spans="1:15">
      <c r="A709" s="4">
        <v>45667</v>
      </c>
      <c r="B709" t="s">
        <v>116</v>
      </c>
      <c r="C709" t="s">
        <v>73</v>
      </c>
      <c r="D709">
        <v>220</v>
      </c>
      <c r="E709" t="s">
        <v>74</v>
      </c>
      <c r="F709" t="s">
        <v>799</v>
      </c>
      <c r="G709" t="s">
        <v>46</v>
      </c>
      <c r="H709" t="s">
        <v>70</v>
      </c>
      <c r="I709" t="s">
        <v>84</v>
      </c>
      <c r="J709" t="s">
        <v>57</v>
      </c>
      <c r="K709" t="s">
        <v>58</v>
      </c>
      <c r="L709">
        <v>4</v>
      </c>
      <c r="M709">
        <v>30</v>
      </c>
      <c r="N709" t="s">
        <v>59</v>
      </c>
      <c r="O709">
        <v>17</v>
      </c>
    </row>
    <row r="710" spans="1:15">
      <c r="A710" s="4">
        <v>45937</v>
      </c>
      <c r="B710" t="s">
        <v>67</v>
      </c>
      <c r="C710" t="s">
        <v>73</v>
      </c>
      <c r="D710">
        <v>4000</v>
      </c>
      <c r="E710" t="s">
        <v>74</v>
      </c>
      <c r="F710" t="s">
        <v>800</v>
      </c>
      <c r="G710" t="s">
        <v>46</v>
      </c>
      <c r="H710" t="s">
        <v>55</v>
      </c>
      <c r="I710" t="s">
        <v>56</v>
      </c>
      <c r="J710" t="s">
        <v>65</v>
      </c>
      <c r="K710" t="s">
        <v>76</v>
      </c>
      <c r="L710">
        <v>4</v>
      </c>
      <c r="M710">
        <v>45</v>
      </c>
      <c r="N710" t="s">
        <v>71</v>
      </c>
      <c r="O710">
        <v>11</v>
      </c>
    </row>
    <row r="711" spans="1:15">
      <c r="A711" s="4">
        <v>45968</v>
      </c>
      <c r="B711" t="s">
        <v>60</v>
      </c>
      <c r="C711" t="s">
        <v>77</v>
      </c>
      <c r="D711">
        <v>2530</v>
      </c>
      <c r="E711" t="s">
        <v>53</v>
      </c>
      <c r="F711" t="s">
        <v>801</v>
      </c>
      <c r="G711" t="s">
        <v>46</v>
      </c>
      <c r="H711" t="s">
        <v>70</v>
      </c>
      <c r="I711" t="s">
        <v>56</v>
      </c>
      <c r="J711" t="s">
        <v>65</v>
      </c>
      <c r="K711" t="s">
        <v>58</v>
      </c>
      <c r="L711">
        <v>2</v>
      </c>
      <c r="M711">
        <v>30</v>
      </c>
      <c r="N711" t="s">
        <v>93</v>
      </c>
      <c r="O711">
        <v>6</v>
      </c>
    </row>
    <row r="712" spans="1:15">
      <c r="A712" s="4">
        <v>45912</v>
      </c>
      <c r="B712" t="s">
        <v>90</v>
      </c>
      <c r="C712" t="s">
        <v>73</v>
      </c>
      <c r="D712">
        <v>170</v>
      </c>
      <c r="E712" t="s">
        <v>74</v>
      </c>
      <c r="F712" t="s">
        <v>802</v>
      </c>
      <c r="G712" t="s">
        <v>45</v>
      </c>
      <c r="H712" t="s">
        <v>70</v>
      </c>
      <c r="I712" t="s">
        <v>79</v>
      </c>
      <c r="J712" t="s">
        <v>65</v>
      </c>
      <c r="K712" t="s">
        <v>58</v>
      </c>
      <c r="L712">
        <v>4</v>
      </c>
      <c r="M712">
        <v>30</v>
      </c>
      <c r="N712" t="s">
        <v>59</v>
      </c>
      <c r="O712">
        <v>15</v>
      </c>
    </row>
    <row r="713" spans="1:15">
      <c r="A713" s="4">
        <v>45852</v>
      </c>
      <c r="B713" t="s">
        <v>94</v>
      </c>
      <c r="C713" t="s">
        <v>73</v>
      </c>
      <c r="D713">
        <v>260</v>
      </c>
      <c r="E713" t="s">
        <v>53</v>
      </c>
      <c r="F713" t="s">
        <v>803</v>
      </c>
      <c r="G713" t="s">
        <v>45</v>
      </c>
      <c r="H713" t="s">
        <v>55</v>
      </c>
      <c r="I713" t="s">
        <v>88</v>
      </c>
      <c r="J713" t="s">
        <v>57</v>
      </c>
      <c r="K713" t="s">
        <v>58</v>
      </c>
      <c r="L713">
        <v>2</v>
      </c>
      <c r="M713">
        <v>90</v>
      </c>
      <c r="N713" t="s">
        <v>59</v>
      </c>
      <c r="O713">
        <v>4</v>
      </c>
    </row>
    <row r="714" spans="1:15">
      <c r="A714" s="4">
        <v>45875</v>
      </c>
      <c r="B714" t="s">
        <v>72</v>
      </c>
      <c r="C714" t="s">
        <v>95</v>
      </c>
      <c r="D714">
        <v>2570</v>
      </c>
      <c r="E714" t="s">
        <v>62</v>
      </c>
      <c r="F714" t="s">
        <v>804</v>
      </c>
      <c r="G714" t="s">
        <v>45</v>
      </c>
      <c r="H714" t="s">
        <v>70</v>
      </c>
      <c r="I714" t="s">
        <v>92</v>
      </c>
      <c r="J714" t="s">
        <v>57</v>
      </c>
      <c r="K714" t="s">
        <v>58</v>
      </c>
      <c r="L714">
        <v>2</v>
      </c>
      <c r="M714">
        <v>60</v>
      </c>
      <c r="N714" t="s">
        <v>71</v>
      </c>
      <c r="O714">
        <v>6</v>
      </c>
    </row>
    <row r="715" spans="1:15">
      <c r="A715" s="4">
        <v>45853</v>
      </c>
      <c r="B715" t="s">
        <v>80</v>
      </c>
      <c r="C715" t="s">
        <v>68</v>
      </c>
      <c r="D715">
        <v>3380</v>
      </c>
      <c r="E715" t="s">
        <v>53</v>
      </c>
      <c r="F715" t="s">
        <v>805</v>
      </c>
      <c r="G715" t="s">
        <v>45</v>
      </c>
      <c r="H715" t="s">
        <v>70</v>
      </c>
      <c r="I715" t="s">
        <v>88</v>
      </c>
      <c r="J715" t="s">
        <v>57</v>
      </c>
      <c r="K715" t="s">
        <v>66</v>
      </c>
      <c r="L715">
        <v>5</v>
      </c>
      <c r="M715">
        <v>45</v>
      </c>
      <c r="N715" t="s">
        <v>71</v>
      </c>
      <c r="O715">
        <v>12</v>
      </c>
    </row>
    <row r="716" spans="1:15">
      <c r="A716" s="4">
        <v>45826</v>
      </c>
      <c r="B716" t="s">
        <v>51</v>
      </c>
      <c r="C716" t="s">
        <v>95</v>
      </c>
      <c r="D716">
        <v>2100</v>
      </c>
      <c r="E716" t="s">
        <v>62</v>
      </c>
      <c r="F716" t="s">
        <v>806</v>
      </c>
      <c r="G716" t="s">
        <v>45</v>
      </c>
      <c r="H716" t="s">
        <v>55</v>
      </c>
      <c r="I716" t="s">
        <v>56</v>
      </c>
      <c r="J716" t="s">
        <v>65</v>
      </c>
      <c r="K716" t="s">
        <v>76</v>
      </c>
      <c r="L716">
        <v>3</v>
      </c>
      <c r="M716">
        <v>60</v>
      </c>
      <c r="N716" t="s">
        <v>59</v>
      </c>
      <c r="O716">
        <v>8</v>
      </c>
    </row>
    <row r="717" spans="1:15">
      <c r="A717" s="4">
        <v>45698</v>
      </c>
      <c r="B717" t="s">
        <v>60</v>
      </c>
      <c r="C717" t="s">
        <v>114</v>
      </c>
      <c r="D717">
        <v>4330</v>
      </c>
      <c r="E717" t="s">
        <v>62</v>
      </c>
      <c r="F717" t="s">
        <v>807</v>
      </c>
      <c r="G717" t="s">
        <v>46</v>
      </c>
      <c r="H717" t="s">
        <v>70</v>
      </c>
      <c r="I717" t="s">
        <v>56</v>
      </c>
      <c r="J717" t="s">
        <v>57</v>
      </c>
      <c r="K717" t="s">
        <v>76</v>
      </c>
      <c r="L717">
        <v>3</v>
      </c>
      <c r="M717">
        <v>90</v>
      </c>
      <c r="N717" t="s">
        <v>59</v>
      </c>
      <c r="O717">
        <v>17</v>
      </c>
    </row>
    <row r="718" spans="1:15">
      <c r="A718" s="4">
        <v>45949</v>
      </c>
      <c r="B718" t="s">
        <v>90</v>
      </c>
      <c r="C718" t="s">
        <v>68</v>
      </c>
      <c r="D718">
        <v>2420</v>
      </c>
      <c r="E718" t="s">
        <v>53</v>
      </c>
      <c r="F718" t="s">
        <v>808</v>
      </c>
      <c r="G718" t="s">
        <v>45</v>
      </c>
      <c r="H718" t="s">
        <v>55</v>
      </c>
      <c r="I718" t="s">
        <v>92</v>
      </c>
      <c r="J718" t="s">
        <v>65</v>
      </c>
      <c r="K718" t="s">
        <v>66</v>
      </c>
      <c r="L718">
        <v>3</v>
      </c>
      <c r="M718">
        <v>45</v>
      </c>
      <c r="N718" t="s">
        <v>59</v>
      </c>
      <c r="O718">
        <v>18</v>
      </c>
    </row>
    <row r="719" spans="1:15">
      <c r="A719" s="4">
        <v>46019</v>
      </c>
      <c r="B719" t="s">
        <v>101</v>
      </c>
      <c r="C719" t="s">
        <v>98</v>
      </c>
      <c r="D719">
        <v>4140</v>
      </c>
      <c r="E719" t="s">
        <v>53</v>
      </c>
      <c r="F719" t="s">
        <v>809</v>
      </c>
      <c r="G719" t="s">
        <v>46</v>
      </c>
      <c r="H719" t="s">
        <v>70</v>
      </c>
      <c r="I719" t="s">
        <v>79</v>
      </c>
      <c r="J719" t="s">
        <v>65</v>
      </c>
      <c r="K719" t="s">
        <v>66</v>
      </c>
      <c r="L719">
        <v>4</v>
      </c>
      <c r="M719">
        <v>60</v>
      </c>
      <c r="N719" t="s">
        <v>93</v>
      </c>
      <c r="O719">
        <v>8</v>
      </c>
    </row>
    <row r="720" spans="1:15">
      <c r="A720" s="4">
        <v>45698</v>
      </c>
      <c r="B720" t="s">
        <v>97</v>
      </c>
      <c r="C720" t="s">
        <v>73</v>
      </c>
      <c r="D720">
        <v>3660</v>
      </c>
      <c r="E720" t="s">
        <v>74</v>
      </c>
      <c r="F720" t="s">
        <v>810</v>
      </c>
      <c r="G720" t="s">
        <v>45</v>
      </c>
      <c r="H720" t="s">
        <v>70</v>
      </c>
      <c r="I720" t="s">
        <v>92</v>
      </c>
      <c r="J720" t="s">
        <v>57</v>
      </c>
      <c r="K720" t="s">
        <v>66</v>
      </c>
      <c r="L720">
        <v>3</v>
      </c>
      <c r="M720">
        <v>45</v>
      </c>
      <c r="N720" t="s">
        <v>59</v>
      </c>
      <c r="O720">
        <v>12</v>
      </c>
    </row>
    <row r="721" spans="1:15">
      <c r="A721" s="4">
        <v>45750</v>
      </c>
      <c r="B721" t="s">
        <v>67</v>
      </c>
      <c r="C721" t="s">
        <v>86</v>
      </c>
      <c r="D721">
        <v>1630</v>
      </c>
      <c r="E721" t="s">
        <v>62</v>
      </c>
      <c r="F721" t="s">
        <v>811</v>
      </c>
      <c r="G721" t="s">
        <v>45</v>
      </c>
      <c r="H721" t="s">
        <v>70</v>
      </c>
      <c r="I721" t="s">
        <v>79</v>
      </c>
      <c r="J721" t="s">
        <v>65</v>
      </c>
      <c r="K721" t="s">
        <v>76</v>
      </c>
      <c r="L721">
        <v>3</v>
      </c>
      <c r="M721">
        <v>45</v>
      </c>
      <c r="N721" t="s">
        <v>93</v>
      </c>
      <c r="O721">
        <v>10</v>
      </c>
    </row>
    <row r="722" spans="1:15">
      <c r="A722" s="4">
        <v>45699</v>
      </c>
      <c r="B722" t="s">
        <v>60</v>
      </c>
      <c r="C722" t="s">
        <v>98</v>
      </c>
      <c r="D722">
        <v>3700</v>
      </c>
      <c r="E722" t="s">
        <v>62</v>
      </c>
      <c r="F722" t="s">
        <v>812</v>
      </c>
      <c r="G722" t="s">
        <v>45</v>
      </c>
      <c r="H722" t="s">
        <v>55</v>
      </c>
      <c r="I722" t="s">
        <v>79</v>
      </c>
      <c r="J722" t="s">
        <v>65</v>
      </c>
      <c r="K722" t="s">
        <v>76</v>
      </c>
      <c r="L722">
        <v>5</v>
      </c>
      <c r="M722">
        <v>90</v>
      </c>
      <c r="N722" t="s">
        <v>71</v>
      </c>
      <c r="O722">
        <v>20</v>
      </c>
    </row>
    <row r="723" spans="1:15">
      <c r="A723" s="4">
        <v>45907</v>
      </c>
      <c r="B723" t="s">
        <v>85</v>
      </c>
      <c r="C723" t="s">
        <v>77</v>
      </c>
      <c r="D723">
        <v>1160</v>
      </c>
      <c r="E723" t="s">
        <v>74</v>
      </c>
      <c r="F723" t="s">
        <v>813</v>
      </c>
      <c r="G723" t="s">
        <v>45</v>
      </c>
      <c r="H723" t="s">
        <v>70</v>
      </c>
      <c r="I723" t="s">
        <v>56</v>
      </c>
      <c r="J723" t="s">
        <v>65</v>
      </c>
      <c r="K723" t="s">
        <v>76</v>
      </c>
      <c r="L723">
        <v>3</v>
      </c>
      <c r="M723">
        <v>45</v>
      </c>
      <c r="N723" t="s">
        <v>59</v>
      </c>
      <c r="O723">
        <v>15</v>
      </c>
    </row>
    <row r="724" spans="1:15">
      <c r="A724" s="4">
        <v>45885</v>
      </c>
      <c r="B724" t="s">
        <v>51</v>
      </c>
      <c r="C724" t="s">
        <v>81</v>
      </c>
      <c r="D724">
        <v>1620</v>
      </c>
      <c r="E724" t="s">
        <v>53</v>
      </c>
      <c r="F724" t="s">
        <v>814</v>
      </c>
      <c r="G724" t="s">
        <v>45</v>
      </c>
      <c r="H724" t="s">
        <v>55</v>
      </c>
      <c r="I724" t="s">
        <v>92</v>
      </c>
      <c r="J724" t="s">
        <v>57</v>
      </c>
      <c r="K724" t="s">
        <v>58</v>
      </c>
      <c r="L724">
        <v>4</v>
      </c>
      <c r="M724">
        <v>90</v>
      </c>
      <c r="N724" t="s">
        <v>71</v>
      </c>
      <c r="O724">
        <v>7</v>
      </c>
    </row>
    <row r="725" spans="1:15">
      <c r="A725" s="4">
        <v>46007</v>
      </c>
      <c r="B725" t="s">
        <v>72</v>
      </c>
      <c r="C725" t="s">
        <v>114</v>
      </c>
      <c r="D725">
        <v>1870</v>
      </c>
      <c r="E725" t="s">
        <v>62</v>
      </c>
      <c r="F725" t="s">
        <v>815</v>
      </c>
      <c r="G725" t="s">
        <v>45</v>
      </c>
      <c r="H725" t="s">
        <v>55</v>
      </c>
      <c r="I725" t="s">
        <v>92</v>
      </c>
      <c r="J725" t="s">
        <v>57</v>
      </c>
      <c r="K725" t="s">
        <v>76</v>
      </c>
      <c r="L725">
        <v>3</v>
      </c>
      <c r="M725">
        <v>60</v>
      </c>
      <c r="N725" t="s">
        <v>93</v>
      </c>
      <c r="O725">
        <v>6</v>
      </c>
    </row>
    <row r="726" spans="1:15">
      <c r="A726" s="4">
        <v>45721</v>
      </c>
      <c r="B726" t="s">
        <v>109</v>
      </c>
      <c r="C726" t="s">
        <v>77</v>
      </c>
      <c r="D726">
        <v>2090</v>
      </c>
      <c r="E726" t="s">
        <v>62</v>
      </c>
      <c r="F726" t="s">
        <v>816</v>
      </c>
      <c r="G726" t="s">
        <v>45</v>
      </c>
      <c r="H726" t="s">
        <v>70</v>
      </c>
      <c r="I726" t="s">
        <v>92</v>
      </c>
      <c r="J726" t="s">
        <v>65</v>
      </c>
      <c r="K726" t="s">
        <v>76</v>
      </c>
      <c r="L726">
        <v>3</v>
      </c>
      <c r="M726">
        <v>30</v>
      </c>
      <c r="N726" t="s">
        <v>59</v>
      </c>
      <c r="O726">
        <v>13</v>
      </c>
    </row>
    <row r="727" spans="1:15">
      <c r="A727" s="4">
        <v>45814</v>
      </c>
      <c r="B727" t="s">
        <v>109</v>
      </c>
      <c r="C727" t="s">
        <v>52</v>
      </c>
      <c r="D727">
        <v>3810</v>
      </c>
      <c r="E727" t="s">
        <v>74</v>
      </c>
      <c r="F727" t="s">
        <v>817</v>
      </c>
      <c r="G727" t="s">
        <v>46</v>
      </c>
      <c r="H727" t="s">
        <v>55</v>
      </c>
      <c r="I727" t="s">
        <v>92</v>
      </c>
      <c r="J727" t="s">
        <v>65</v>
      </c>
      <c r="K727" t="s">
        <v>66</v>
      </c>
      <c r="L727">
        <v>1</v>
      </c>
      <c r="M727">
        <v>90</v>
      </c>
      <c r="N727" t="s">
        <v>93</v>
      </c>
      <c r="O727">
        <v>8</v>
      </c>
    </row>
    <row r="728" spans="1:15">
      <c r="A728" s="4">
        <v>45841</v>
      </c>
      <c r="B728" t="s">
        <v>80</v>
      </c>
      <c r="C728" t="s">
        <v>73</v>
      </c>
      <c r="D728">
        <v>1520</v>
      </c>
      <c r="E728" t="s">
        <v>62</v>
      </c>
      <c r="F728" t="s">
        <v>818</v>
      </c>
      <c r="G728" t="s">
        <v>45</v>
      </c>
      <c r="H728" t="s">
        <v>70</v>
      </c>
      <c r="I728" t="s">
        <v>84</v>
      </c>
      <c r="J728" t="s">
        <v>57</v>
      </c>
      <c r="K728" t="s">
        <v>58</v>
      </c>
      <c r="L728">
        <v>3</v>
      </c>
      <c r="M728">
        <v>30</v>
      </c>
      <c r="N728" t="s">
        <v>93</v>
      </c>
      <c r="O728">
        <v>3</v>
      </c>
    </row>
    <row r="729" spans="1:15">
      <c r="A729" s="4">
        <v>46003</v>
      </c>
      <c r="B729" t="s">
        <v>67</v>
      </c>
      <c r="C729" t="s">
        <v>68</v>
      </c>
      <c r="D729">
        <v>1190</v>
      </c>
      <c r="E729" t="s">
        <v>62</v>
      </c>
      <c r="F729" t="s">
        <v>819</v>
      </c>
      <c r="G729" t="s">
        <v>45</v>
      </c>
      <c r="H729" t="s">
        <v>55</v>
      </c>
      <c r="I729" t="s">
        <v>56</v>
      </c>
      <c r="J729" t="s">
        <v>57</v>
      </c>
      <c r="K729" t="s">
        <v>66</v>
      </c>
      <c r="L729">
        <v>3</v>
      </c>
      <c r="M729">
        <v>60</v>
      </c>
      <c r="N729" t="s">
        <v>93</v>
      </c>
      <c r="O729">
        <v>4</v>
      </c>
    </row>
    <row r="730" spans="1:15">
      <c r="A730" s="4">
        <v>45697</v>
      </c>
      <c r="B730" t="s">
        <v>94</v>
      </c>
      <c r="C730" t="s">
        <v>77</v>
      </c>
      <c r="D730">
        <v>4990</v>
      </c>
      <c r="E730" t="s">
        <v>62</v>
      </c>
      <c r="F730" t="s">
        <v>820</v>
      </c>
      <c r="G730" t="s">
        <v>46</v>
      </c>
      <c r="H730" t="s">
        <v>55</v>
      </c>
      <c r="I730" t="s">
        <v>92</v>
      </c>
      <c r="J730" t="s">
        <v>57</v>
      </c>
      <c r="K730" t="s">
        <v>76</v>
      </c>
      <c r="L730">
        <v>2</v>
      </c>
      <c r="M730">
        <v>60</v>
      </c>
      <c r="N730" t="s">
        <v>71</v>
      </c>
      <c r="O730">
        <v>15</v>
      </c>
    </row>
    <row r="731" spans="1:15">
      <c r="A731" s="4">
        <v>45889</v>
      </c>
      <c r="B731" t="s">
        <v>90</v>
      </c>
      <c r="C731" t="s">
        <v>73</v>
      </c>
      <c r="D731">
        <v>3630</v>
      </c>
      <c r="E731" t="s">
        <v>62</v>
      </c>
      <c r="F731" t="s">
        <v>821</v>
      </c>
      <c r="G731" t="s">
        <v>46</v>
      </c>
      <c r="H731" t="s">
        <v>70</v>
      </c>
      <c r="I731" t="s">
        <v>92</v>
      </c>
      <c r="J731" t="s">
        <v>57</v>
      </c>
      <c r="K731" t="s">
        <v>58</v>
      </c>
      <c r="L731">
        <v>4</v>
      </c>
      <c r="M731">
        <v>90</v>
      </c>
      <c r="N731" t="s">
        <v>93</v>
      </c>
      <c r="O731">
        <v>3</v>
      </c>
    </row>
    <row r="732" spans="1:15">
      <c r="A732" s="4">
        <v>45978</v>
      </c>
      <c r="B732" t="s">
        <v>51</v>
      </c>
      <c r="C732" t="s">
        <v>95</v>
      </c>
      <c r="D732">
        <v>4240</v>
      </c>
      <c r="E732" t="s">
        <v>62</v>
      </c>
      <c r="F732" t="s">
        <v>822</v>
      </c>
      <c r="G732" t="s">
        <v>45</v>
      </c>
      <c r="H732" t="s">
        <v>70</v>
      </c>
      <c r="I732" t="s">
        <v>92</v>
      </c>
      <c r="J732" t="s">
        <v>65</v>
      </c>
      <c r="K732" t="s">
        <v>58</v>
      </c>
      <c r="L732">
        <v>1</v>
      </c>
      <c r="M732">
        <v>30</v>
      </c>
      <c r="N732" t="s">
        <v>71</v>
      </c>
      <c r="O732">
        <v>19</v>
      </c>
    </row>
    <row r="733" spans="1:15">
      <c r="A733" s="4">
        <v>45929</v>
      </c>
      <c r="B733" t="s">
        <v>60</v>
      </c>
      <c r="C733" t="s">
        <v>81</v>
      </c>
      <c r="D733">
        <v>390</v>
      </c>
      <c r="E733" t="s">
        <v>74</v>
      </c>
      <c r="F733" t="s">
        <v>823</v>
      </c>
      <c r="G733" t="s">
        <v>45</v>
      </c>
      <c r="H733" t="s">
        <v>70</v>
      </c>
      <c r="I733" t="s">
        <v>79</v>
      </c>
      <c r="J733" t="s">
        <v>65</v>
      </c>
      <c r="K733" t="s">
        <v>58</v>
      </c>
      <c r="L733">
        <v>3</v>
      </c>
      <c r="M733">
        <v>45</v>
      </c>
      <c r="N733" t="s">
        <v>71</v>
      </c>
      <c r="O733">
        <v>10</v>
      </c>
    </row>
    <row r="734" spans="1:15">
      <c r="A734" s="4">
        <v>46014</v>
      </c>
      <c r="B734" t="s">
        <v>109</v>
      </c>
      <c r="C734" t="s">
        <v>81</v>
      </c>
      <c r="D734">
        <v>3760</v>
      </c>
      <c r="E734" t="s">
        <v>53</v>
      </c>
      <c r="F734" t="s">
        <v>824</v>
      </c>
      <c r="G734" t="s">
        <v>45</v>
      </c>
      <c r="H734" t="s">
        <v>55</v>
      </c>
      <c r="I734" t="s">
        <v>79</v>
      </c>
      <c r="J734" t="s">
        <v>57</v>
      </c>
      <c r="K734" t="s">
        <v>58</v>
      </c>
      <c r="L734">
        <v>1</v>
      </c>
      <c r="M734">
        <v>60</v>
      </c>
      <c r="N734" t="s">
        <v>93</v>
      </c>
      <c r="O734">
        <v>3</v>
      </c>
    </row>
    <row r="735" spans="1:15">
      <c r="A735" s="4">
        <v>45836</v>
      </c>
      <c r="B735" t="s">
        <v>67</v>
      </c>
      <c r="C735" t="s">
        <v>73</v>
      </c>
      <c r="D735">
        <v>4940</v>
      </c>
      <c r="E735" t="s">
        <v>74</v>
      </c>
      <c r="F735" t="s">
        <v>825</v>
      </c>
      <c r="G735" t="s">
        <v>45</v>
      </c>
      <c r="H735" t="s">
        <v>70</v>
      </c>
      <c r="I735" t="s">
        <v>79</v>
      </c>
      <c r="J735" t="s">
        <v>57</v>
      </c>
      <c r="K735" t="s">
        <v>66</v>
      </c>
      <c r="L735">
        <v>4</v>
      </c>
      <c r="M735">
        <v>90</v>
      </c>
      <c r="N735" t="s">
        <v>59</v>
      </c>
      <c r="O735">
        <v>3</v>
      </c>
    </row>
    <row r="736" spans="1:15">
      <c r="A736" s="4">
        <v>45995</v>
      </c>
      <c r="B736" t="s">
        <v>51</v>
      </c>
      <c r="C736" t="s">
        <v>61</v>
      </c>
      <c r="D736">
        <v>2530</v>
      </c>
      <c r="E736" t="s">
        <v>62</v>
      </c>
      <c r="F736" t="s">
        <v>826</v>
      </c>
      <c r="G736" t="s">
        <v>46</v>
      </c>
      <c r="H736" t="s">
        <v>55</v>
      </c>
      <c r="I736" t="s">
        <v>88</v>
      </c>
      <c r="J736" t="s">
        <v>65</v>
      </c>
      <c r="K736" t="s">
        <v>76</v>
      </c>
      <c r="L736">
        <v>1</v>
      </c>
      <c r="M736">
        <v>90</v>
      </c>
      <c r="N736" t="s">
        <v>59</v>
      </c>
      <c r="O736">
        <v>4</v>
      </c>
    </row>
    <row r="737" spans="1:15">
      <c r="A737" s="4">
        <v>45773</v>
      </c>
      <c r="B737" t="s">
        <v>101</v>
      </c>
      <c r="C737" t="s">
        <v>61</v>
      </c>
      <c r="D737">
        <v>3270</v>
      </c>
      <c r="E737" t="s">
        <v>62</v>
      </c>
      <c r="F737" t="s">
        <v>827</v>
      </c>
      <c r="G737" t="s">
        <v>46</v>
      </c>
      <c r="H737" t="s">
        <v>70</v>
      </c>
      <c r="I737" t="s">
        <v>92</v>
      </c>
      <c r="J737" t="s">
        <v>57</v>
      </c>
      <c r="K737" t="s">
        <v>76</v>
      </c>
      <c r="L737">
        <v>3</v>
      </c>
      <c r="M737">
        <v>30</v>
      </c>
      <c r="N737" t="s">
        <v>59</v>
      </c>
      <c r="O737">
        <v>11</v>
      </c>
    </row>
    <row r="738" spans="1:15">
      <c r="A738" s="4">
        <v>45884</v>
      </c>
      <c r="B738" t="s">
        <v>94</v>
      </c>
      <c r="C738" t="s">
        <v>73</v>
      </c>
      <c r="D738">
        <v>880</v>
      </c>
      <c r="E738" t="s">
        <v>74</v>
      </c>
      <c r="F738" t="s">
        <v>828</v>
      </c>
      <c r="G738" t="s">
        <v>45</v>
      </c>
      <c r="H738" t="s">
        <v>55</v>
      </c>
      <c r="I738" t="s">
        <v>84</v>
      </c>
      <c r="J738" t="s">
        <v>57</v>
      </c>
      <c r="K738" t="s">
        <v>66</v>
      </c>
      <c r="L738">
        <v>3</v>
      </c>
      <c r="M738">
        <v>45</v>
      </c>
      <c r="N738" t="s">
        <v>93</v>
      </c>
      <c r="O738">
        <v>16</v>
      </c>
    </row>
    <row r="739" spans="1:15">
      <c r="A739" s="4">
        <v>45964</v>
      </c>
      <c r="B739" t="s">
        <v>72</v>
      </c>
      <c r="C739" t="s">
        <v>77</v>
      </c>
      <c r="D739">
        <v>230</v>
      </c>
      <c r="E739" t="s">
        <v>53</v>
      </c>
      <c r="F739" t="s">
        <v>829</v>
      </c>
      <c r="G739" t="s">
        <v>46</v>
      </c>
      <c r="H739" t="s">
        <v>55</v>
      </c>
      <c r="I739" t="s">
        <v>84</v>
      </c>
      <c r="J739" t="s">
        <v>57</v>
      </c>
      <c r="K739" t="s">
        <v>66</v>
      </c>
      <c r="L739">
        <v>3</v>
      </c>
      <c r="M739">
        <v>45</v>
      </c>
      <c r="N739" t="s">
        <v>59</v>
      </c>
      <c r="O739">
        <v>3</v>
      </c>
    </row>
    <row r="740" spans="1:15">
      <c r="A740" s="4">
        <v>45955</v>
      </c>
      <c r="B740" t="s">
        <v>72</v>
      </c>
      <c r="C740" t="s">
        <v>114</v>
      </c>
      <c r="D740">
        <v>2260</v>
      </c>
      <c r="E740" t="s">
        <v>53</v>
      </c>
      <c r="F740" t="s">
        <v>830</v>
      </c>
      <c r="G740" t="s">
        <v>45</v>
      </c>
      <c r="H740" t="s">
        <v>70</v>
      </c>
      <c r="I740" t="s">
        <v>56</v>
      </c>
      <c r="J740" t="s">
        <v>57</v>
      </c>
      <c r="K740" t="s">
        <v>58</v>
      </c>
      <c r="L740">
        <v>3</v>
      </c>
      <c r="M740">
        <v>30</v>
      </c>
      <c r="N740" t="s">
        <v>59</v>
      </c>
      <c r="O740">
        <v>5</v>
      </c>
    </row>
    <row r="741" spans="1:15">
      <c r="A741" s="4">
        <v>45909</v>
      </c>
      <c r="B741" t="s">
        <v>85</v>
      </c>
      <c r="C741" t="s">
        <v>61</v>
      </c>
      <c r="D741">
        <v>4740</v>
      </c>
      <c r="E741" t="s">
        <v>74</v>
      </c>
      <c r="F741" t="s">
        <v>831</v>
      </c>
      <c r="G741" t="s">
        <v>45</v>
      </c>
      <c r="H741" t="s">
        <v>55</v>
      </c>
      <c r="I741" t="s">
        <v>84</v>
      </c>
      <c r="J741" t="s">
        <v>57</v>
      </c>
      <c r="K741" t="s">
        <v>66</v>
      </c>
      <c r="L741">
        <v>3</v>
      </c>
      <c r="M741">
        <v>90</v>
      </c>
      <c r="N741" t="s">
        <v>93</v>
      </c>
      <c r="O741">
        <v>8</v>
      </c>
    </row>
    <row r="742" spans="1:15">
      <c r="A742" s="4">
        <v>45693</v>
      </c>
      <c r="B742" t="s">
        <v>90</v>
      </c>
      <c r="C742" t="s">
        <v>52</v>
      </c>
      <c r="D742">
        <v>2690</v>
      </c>
      <c r="E742" t="s">
        <v>62</v>
      </c>
      <c r="F742" t="s">
        <v>832</v>
      </c>
      <c r="G742" t="s">
        <v>45</v>
      </c>
      <c r="H742" t="s">
        <v>55</v>
      </c>
      <c r="I742" t="s">
        <v>88</v>
      </c>
      <c r="J742" t="s">
        <v>57</v>
      </c>
      <c r="K742" t="s">
        <v>76</v>
      </c>
      <c r="L742">
        <v>2</v>
      </c>
      <c r="M742">
        <v>60</v>
      </c>
      <c r="N742" t="s">
        <v>71</v>
      </c>
      <c r="O742">
        <v>18</v>
      </c>
    </row>
    <row r="743" spans="1:15">
      <c r="A743" s="4">
        <v>45829</v>
      </c>
      <c r="B743" t="s">
        <v>116</v>
      </c>
      <c r="C743" t="s">
        <v>61</v>
      </c>
      <c r="D743">
        <v>2390</v>
      </c>
      <c r="E743" t="s">
        <v>53</v>
      </c>
      <c r="F743" t="s">
        <v>833</v>
      </c>
      <c r="G743" t="s">
        <v>46</v>
      </c>
      <c r="H743" t="s">
        <v>70</v>
      </c>
      <c r="I743" t="s">
        <v>84</v>
      </c>
      <c r="J743" t="s">
        <v>65</v>
      </c>
      <c r="K743" t="s">
        <v>58</v>
      </c>
      <c r="L743">
        <v>2</v>
      </c>
      <c r="M743">
        <v>30</v>
      </c>
      <c r="N743" t="s">
        <v>93</v>
      </c>
      <c r="O743">
        <v>16</v>
      </c>
    </row>
    <row r="744" spans="1:15">
      <c r="A744" s="4">
        <v>45828</v>
      </c>
      <c r="B744" t="s">
        <v>116</v>
      </c>
      <c r="C744" t="s">
        <v>95</v>
      </c>
      <c r="D744">
        <v>310</v>
      </c>
      <c r="E744" t="s">
        <v>62</v>
      </c>
      <c r="F744" t="s">
        <v>834</v>
      </c>
      <c r="G744" t="s">
        <v>46</v>
      </c>
      <c r="H744" t="s">
        <v>55</v>
      </c>
      <c r="I744" t="s">
        <v>92</v>
      </c>
      <c r="J744" t="s">
        <v>57</v>
      </c>
      <c r="K744" t="s">
        <v>66</v>
      </c>
      <c r="L744">
        <v>2</v>
      </c>
      <c r="M744">
        <v>45</v>
      </c>
      <c r="N744" t="s">
        <v>71</v>
      </c>
      <c r="O744">
        <v>3</v>
      </c>
    </row>
    <row r="745" spans="1:15">
      <c r="A745" s="4">
        <v>45845</v>
      </c>
      <c r="B745" t="s">
        <v>116</v>
      </c>
      <c r="C745" t="s">
        <v>77</v>
      </c>
      <c r="D745">
        <v>4420</v>
      </c>
      <c r="E745" t="s">
        <v>74</v>
      </c>
      <c r="F745" t="s">
        <v>835</v>
      </c>
      <c r="G745" t="s">
        <v>45</v>
      </c>
      <c r="H745" t="s">
        <v>70</v>
      </c>
      <c r="I745" t="s">
        <v>79</v>
      </c>
      <c r="J745" t="s">
        <v>57</v>
      </c>
      <c r="K745" t="s">
        <v>58</v>
      </c>
      <c r="L745">
        <v>3</v>
      </c>
      <c r="M745">
        <v>30</v>
      </c>
      <c r="N745" t="s">
        <v>93</v>
      </c>
      <c r="O745">
        <v>11</v>
      </c>
    </row>
    <row r="746" spans="1:15">
      <c r="A746" s="4">
        <v>45752</v>
      </c>
      <c r="B746" t="s">
        <v>72</v>
      </c>
      <c r="C746" t="s">
        <v>95</v>
      </c>
      <c r="D746">
        <v>4320</v>
      </c>
      <c r="E746" t="s">
        <v>74</v>
      </c>
      <c r="F746" t="s">
        <v>836</v>
      </c>
      <c r="G746" t="s">
        <v>46</v>
      </c>
      <c r="H746" t="s">
        <v>55</v>
      </c>
      <c r="I746" t="s">
        <v>56</v>
      </c>
      <c r="J746" t="s">
        <v>57</v>
      </c>
      <c r="K746" t="s">
        <v>66</v>
      </c>
      <c r="L746">
        <v>2</v>
      </c>
      <c r="M746">
        <v>60</v>
      </c>
      <c r="N746" t="s">
        <v>71</v>
      </c>
      <c r="O746">
        <v>12</v>
      </c>
    </row>
    <row r="747" spans="1:15">
      <c r="A747" s="4">
        <v>45850</v>
      </c>
      <c r="B747" t="s">
        <v>90</v>
      </c>
      <c r="C747" t="s">
        <v>98</v>
      </c>
      <c r="D747">
        <v>370</v>
      </c>
      <c r="E747" t="s">
        <v>62</v>
      </c>
      <c r="F747" t="s">
        <v>837</v>
      </c>
      <c r="G747" t="s">
        <v>45</v>
      </c>
      <c r="H747" t="s">
        <v>70</v>
      </c>
      <c r="I747" t="s">
        <v>64</v>
      </c>
      <c r="J747" t="s">
        <v>57</v>
      </c>
      <c r="K747" t="s">
        <v>58</v>
      </c>
      <c r="L747">
        <v>5</v>
      </c>
      <c r="M747">
        <v>60</v>
      </c>
      <c r="N747" t="s">
        <v>71</v>
      </c>
      <c r="O747">
        <v>20</v>
      </c>
    </row>
    <row r="748" spans="1:15">
      <c r="A748" s="4">
        <v>45889</v>
      </c>
      <c r="B748" t="s">
        <v>80</v>
      </c>
      <c r="C748" t="s">
        <v>86</v>
      </c>
      <c r="D748">
        <v>2560</v>
      </c>
      <c r="E748" t="s">
        <v>62</v>
      </c>
      <c r="F748" t="s">
        <v>838</v>
      </c>
      <c r="G748" t="s">
        <v>46</v>
      </c>
      <c r="H748" t="s">
        <v>70</v>
      </c>
      <c r="I748" t="s">
        <v>56</v>
      </c>
      <c r="J748" t="s">
        <v>65</v>
      </c>
      <c r="K748" t="s">
        <v>58</v>
      </c>
      <c r="L748">
        <v>4</v>
      </c>
      <c r="M748">
        <v>60</v>
      </c>
      <c r="N748" t="s">
        <v>71</v>
      </c>
      <c r="O748">
        <v>13</v>
      </c>
    </row>
    <row r="749" spans="1:15">
      <c r="A749" s="4">
        <v>45733</v>
      </c>
      <c r="B749" t="s">
        <v>109</v>
      </c>
      <c r="C749" t="s">
        <v>68</v>
      </c>
      <c r="D749">
        <v>180</v>
      </c>
      <c r="E749" t="s">
        <v>62</v>
      </c>
      <c r="F749" t="s">
        <v>839</v>
      </c>
      <c r="G749" t="s">
        <v>46</v>
      </c>
      <c r="H749" t="s">
        <v>55</v>
      </c>
      <c r="I749" t="s">
        <v>64</v>
      </c>
      <c r="J749" t="s">
        <v>65</v>
      </c>
      <c r="K749" t="s">
        <v>76</v>
      </c>
      <c r="L749">
        <v>3</v>
      </c>
      <c r="M749">
        <v>30</v>
      </c>
      <c r="N749" t="s">
        <v>59</v>
      </c>
      <c r="O749">
        <v>18</v>
      </c>
    </row>
    <row r="750" spans="1:15">
      <c r="A750" s="4">
        <v>45909</v>
      </c>
      <c r="B750" t="s">
        <v>60</v>
      </c>
      <c r="C750" t="s">
        <v>61</v>
      </c>
      <c r="D750">
        <v>3160</v>
      </c>
      <c r="E750" t="s">
        <v>62</v>
      </c>
      <c r="F750" t="s">
        <v>840</v>
      </c>
      <c r="G750" t="s">
        <v>45</v>
      </c>
      <c r="H750" t="s">
        <v>70</v>
      </c>
      <c r="I750" t="s">
        <v>84</v>
      </c>
      <c r="J750" t="s">
        <v>65</v>
      </c>
      <c r="K750" t="s">
        <v>66</v>
      </c>
      <c r="L750">
        <v>2</v>
      </c>
      <c r="M750">
        <v>60</v>
      </c>
      <c r="N750" t="s">
        <v>71</v>
      </c>
      <c r="O750">
        <v>20</v>
      </c>
    </row>
    <row r="751" spans="1:15">
      <c r="A751" s="4">
        <v>45857</v>
      </c>
      <c r="B751" t="s">
        <v>85</v>
      </c>
      <c r="C751" t="s">
        <v>95</v>
      </c>
      <c r="D751">
        <v>2100</v>
      </c>
      <c r="E751" t="s">
        <v>53</v>
      </c>
      <c r="F751" t="s">
        <v>841</v>
      </c>
      <c r="G751" t="s">
        <v>45</v>
      </c>
      <c r="H751" t="s">
        <v>70</v>
      </c>
      <c r="I751" t="s">
        <v>84</v>
      </c>
      <c r="J751" t="s">
        <v>65</v>
      </c>
      <c r="K751" t="s">
        <v>58</v>
      </c>
      <c r="L751">
        <v>1</v>
      </c>
      <c r="M751">
        <v>60</v>
      </c>
      <c r="N751" t="s">
        <v>71</v>
      </c>
      <c r="O751">
        <v>19</v>
      </c>
    </row>
    <row r="752" spans="1:15">
      <c r="A752" s="4">
        <v>45823</v>
      </c>
      <c r="B752" t="s">
        <v>85</v>
      </c>
      <c r="C752" t="s">
        <v>114</v>
      </c>
      <c r="D752">
        <v>1540</v>
      </c>
      <c r="E752" t="s">
        <v>74</v>
      </c>
      <c r="F752" t="s">
        <v>842</v>
      </c>
      <c r="G752" t="s">
        <v>45</v>
      </c>
      <c r="H752" t="s">
        <v>70</v>
      </c>
      <c r="I752" t="s">
        <v>64</v>
      </c>
      <c r="J752" t="s">
        <v>65</v>
      </c>
      <c r="K752" t="s">
        <v>76</v>
      </c>
      <c r="L752">
        <v>3</v>
      </c>
      <c r="M752">
        <v>90</v>
      </c>
      <c r="N752" t="s">
        <v>93</v>
      </c>
      <c r="O752">
        <v>8</v>
      </c>
    </row>
    <row r="753" spans="1:15">
      <c r="A753" s="4">
        <v>45899</v>
      </c>
      <c r="B753" t="s">
        <v>90</v>
      </c>
      <c r="C753" t="s">
        <v>98</v>
      </c>
      <c r="D753">
        <v>4870</v>
      </c>
      <c r="E753" t="s">
        <v>74</v>
      </c>
      <c r="F753" t="s">
        <v>843</v>
      </c>
      <c r="G753" t="s">
        <v>46</v>
      </c>
      <c r="H753" t="s">
        <v>55</v>
      </c>
      <c r="I753" t="s">
        <v>56</v>
      </c>
      <c r="J753" t="s">
        <v>57</v>
      </c>
      <c r="K753" t="s">
        <v>76</v>
      </c>
      <c r="L753">
        <v>1</v>
      </c>
      <c r="M753">
        <v>60</v>
      </c>
      <c r="N753" t="s">
        <v>93</v>
      </c>
      <c r="O753">
        <v>14</v>
      </c>
    </row>
    <row r="754" spans="1:15">
      <c r="A754" s="4">
        <v>45977</v>
      </c>
      <c r="B754" t="s">
        <v>60</v>
      </c>
      <c r="C754" t="s">
        <v>77</v>
      </c>
      <c r="D754">
        <v>420</v>
      </c>
      <c r="E754" t="s">
        <v>53</v>
      </c>
      <c r="F754" t="s">
        <v>844</v>
      </c>
      <c r="G754" t="s">
        <v>45</v>
      </c>
      <c r="H754" t="s">
        <v>70</v>
      </c>
      <c r="I754" t="s">
        <v>88</v>
      </c>
      <c r="J754" t="s">
        <v>57</v>
      </c>
      <c r="K754" t="s">
        <v>66</v>
      </c>
      <c r="L754">
        <v>2</v>
      </c>
      <c r="M754">
        <v>90</v>
      </c>
      <c r="N754" t="s">
        <v>93</v>
      </c>
      <c r="O754">
        <v>8</v>
      </c>
    </row>
    <row r="755" spans="1:15">
      <c r="A755" s="4">
        <v>45771</v>
      </c>
      <c r="B755" t="s">
        <v>101</v>
      </c>
      <c r="C755" t="s">
        <v>61</v>
      </c>
      <c r="D755">
        <v>2540</v>
      </c>
      <c r="E755" t="s">
        <v>74</v>
      </c>
      <c r="F755" t="s">
        <v>845</v>
      </c>
      <c r="G755" t="s">
        <v>45</v>
      </c>
      <c r="H755" t="s">
        <v>70</v>
      </c>
      <c r="I755" t="s">
        <v>88</v>
      </c>
      <c r="J755" t="s">
        <v>57</v>
      </c>
      <c r="K755" t="s">
        <v>58</v>
      </c>
      <c r="L755">
        <v>3</v>
      </c>
      <c r="M755">
        <v>90</v>
      </c>
      <c r="N755" t="s">
        <v>93</v>
      </c>
      <c r="O755">
        <v>16</v>
      </c>
    </row>
    <row r="756" spans="1:15">
      <c r="A756" s="4">
        <v>45843</v>
      </c>
      <c r="B756" t="s">
        <v>72</v>
      </c>
      <c r="C756" t="s">
        <v>95</v>
      </c>
      <c r="D756">
        <v>950</v>
      </c>
      <c r="E756" t="s">
        <v>62</v>
      </c>
      <c r="F756" t="s">
        <v>846</v>
      </c>
      <c r="G756" t="s">
        <v>46</v>
      </c>
      <c r="H756" t="s">
        <v>70</v>
      </c>
      <c r="I756" t="s">
        <v>79</v>
      </c>
      <c r="J756" t="s">
        <v>65</v>
      </c>
      <c r="K756" t="s">
        <v>58</v>
      </c>
      <c r="L756">
        <v>3</v>
      </c>
      <c r="M756">
        <v>45</v>
      </c>
      <c r="N756" t="s">
        <v>71</v>
      </c>
      <c r="O756">
        <v>11</v>
      </c>
    </row>
    <row r="757" spans="1:15">
      <c r="A757" s="4">
        <v>45693</v>
      </c>
      <c r="B757" t="s">
        <v>109</v>
      </c>
      <c r="C757" t="s">
        <v>86</v>
      </c>
      <c r="D757">
        <v>1940</v>
      </c>
      <c r="E757" t="s">
        <v>62</v>
      </c>
      <c r="F757" t="s">
        <v>847</v>
      </c>
      <c r="G757" t="s">
        <v>45</v>
      </c>
      <c r="H757" t="s">
        <v>55</v>
      </c>
      <c r="I757" t="s">
        <v>79</v>
      </c>
      <c r="J757" t="s">
        <v>57</v>
      </c>
      <c r="K757" t="s">
        <v>58</v>
      </c>
      <c r="L757">
        <v>4</v>
      </c>
      <c r="M757">
        <v>90</v>
      </c>
      <c r="N757" t="s">
        <v>93</v>
      </c>
      <c r="O757">
        <v>12</v>
      </c>
    </row>
    <row r="758" spans="1:15">
      <c r="A758" s="4">
        <v>45946</v>
      </c>
      <c r="B758" t="s">
        <v>109</v>
      </c>
      <c r="C758" t="s">
        <v>61</v>
      </c>
      <c r="D758">
        <v>1760</v>
      </c>
      <c r="E758" t="s">
        <v>53</v>
      </c>
      <c r="F758" t="s">
        <v>848</v>
      </c>
      <c r="G758" t="s">
        <v>45</v>
      </c>
      <c r="H758" t="s">
        <v>55</v>
      </c>
      <c r="I758" t="s">
        <v>64</v>
      </c>
      <c r="J758" t="s">
        <v>57</v>
      </c>
      <c r="K758" t="s">
        <v>66</v>
      </c>
      <c r="L758">
        <v>1</v>
      </c>
      <c r="M758">
        <v>45</v>
      </c>
      <c r="N758" t="s">
        <v>93</v>
      </c>
      <c r="O758">
        <v>13</v>
      </c>
    </row>
    <row r="759" spans="1:15">
      <c r="A759" s="4">
        <v>45987</v>
      </c>
      <c r="B759" t="s">
        <v>85</v>
      </c>
      <c r="C759" t="s">
        <v>73</v>
      </c>
      <c r="D759">
        <v>3740</v>
      </c>
      <c r="E759" t="s">
        <v>53</v>
      </c>
      <c r="F759" t="s">
        <v>849</v>
      </c>
      <c r="G759" t="s">
        <v>45</v>
      </c>
      <c r="H759" t="s">
        <v>55</v>
      </c>
      <c r="I759" t="s">
        <v>64</v>
      </c>
      <c r="J759" t="s">
        <v>57</v>
      </c>
      <c r="K759" t="s">
        <v>66</v>
      </c>
      <c r="L759">
        <v>4</v>
      </c>
      <c r="M759">
        <v>30</v>
      </c>
      <c r="N759" t="s">
        <v>93</v>
      </c>
      <c r="O759">
        <v>17</v>
      </c>
    </row>
    <row r="760" spans="1:15">
      <c r="A760" s="4">
        <v>45942</v>
      </c>
      <c r="B760" t="s">
        <v>101</v>
      </c>
      <c r="C760" t="s">
        <v>52</v>
      </c>
      <c r="D760">
        <v>3690</v>
      </c>
      <c r="E760" t="s">
        <v>62</v>
      </c>
      <c r="F760" t="s">
        <v>850</v>
      </c>
      <c r="G760" t="s">
        <v>45</v>
      </c>
      <c r="H760" t="s">
        <v>55</v>
      </c>
      <c r="I760" t="s">
        <v>88</v>
      </c>
      <c r="J760" t="s">
        <v>65</v>
      </c>
      <c r="K760" t="s">
        <v>76</v>
      </c>
      <c r="L760">
        <v>1</v>
      </c>
      <c r="M760">
        <v>30</v>
      </c>
      <c r="N760" t="s">
        <v>59</v>
      </c>
      <c r="O760">
        <v>4</v>
      </c>
    </row>
    <row r="761" spans="1:15">
      <c r="A761" s="4">
        <v>45693</v>
      </c>
      <c r="B761" t="s">
        <v>109</v>
      </c>
      <c r="C761" t="s">
        <v>98</v>
      </c>
      <c r="D761">
        <v>4680</v>
      </c>
      <c r="E761" t="s">
        <v>74</v>
      </c>
      <c r="F761" t="s">
        <v>851</v>
      </c>
      <c r="G761" t="s">
        <v>45</v>
      </c>
      <c r="H761" t="s">
        <v>55</v>
      </c>
      <c r="I761" t="s">
        <v>92</v>
      </c>
      <c r="J761" t="s">
        <v>65</v>
      </c>
      <c r="K761" t="s">
        <v>76</v>
      </c>
      <c r="L761">
        <v>2</v>
      </c>
      <c r="M761">
        <v>60</v>
      </c>
      <c r="N761" t="s">
        <v>93</v>
      </c>
      <c r="O761">
        <v>10</v>
      </c>
    </row>
    <row r="762" spans="1:15">
      <c r="A762" s="4">
        <v>45951</v>
      </c>
      <c r="B762" t="s">
        <v>94</v>
      </c>
      <c r="C762" t="s">
        <v>98</v>
      </c>
      <c r="D762">
        <v>1080</v>
      </c>
      <c r="E762" t="s">
        <v>74</v>
      </c>
      <c r="F762" t="s">
        <v>852</v>
      </c>
      <c r="G762" t="s">
        <v>45</v>
      </c>
      <c r="H762" t="s">
        <v>55</v>
      </c>
      <c r="I762" t="s">
        <v>84</v>
      </c>
      <c r="J762" t="s">
        <v>57</v>
      </c>
      <c r="K762" t="s">
        <v>58</v>
      </c>
      <c r="L762">
        <v>2</v>
      </c>
      <c r="M762">
        <v>30</v>
      </c>
      <c r="N762" t="s">
        <v>93</v>
      </c>
      <c r="O762">
        <v>12</v>
      </c>
    </row>
    <row r="763" spans="1:15">
      <c r="A763" s="4">
        <v>45904</v>
      </c>
      <c r="B763" t="s">
        <v>72</v>
      </c>
      <c r="C763" t="s">
        <v>68</v>
      </c>
      <c r="D763">
        <v>3330</v>
      </c>
      <c r="E763" t="s">
        <v>62</v>
      </c>
      <c r="F763" t="s">
        <v>853</v>
      </c>
      <c r="G763" t="s">
        <v>45</v>
      </c>
      <c r="H763" t="s">
        <v>55</v>
      </c>
      <c r="I763" t="s">
        <v>88</v>
      </c>
      <c r="J763" t="s">
        <v>65</v>
      </c>
      <c r="K763" t="s">
        <v>58</v>
      </c>
      <c r="L763">
        <v>3</v>
      </c>
      <c r="M763">
        <v>90</v>
      </c>
      <c r="N763" t="s">
        <v>59</v>
      </c>
      <c r="O763">
        <v>5</v>
      </c>
    </row>
    <row r="764" spans="1:15">
      <c r="A764" s="4">
        <v>45825</v>
      </c>
      <c r="B764" t="s">
        <v>67</v>
      </c>
      <c r="C764" t="s">
        <v>86</v>
      </c>
      <c r="D764">
        <v>1580</v>
      </c>
      <c r="E764" t="s">
        <v>74</v>
      </c>
      <c r="F764" t="s">
        <v>854</v>
      </c>
      <c r="G764" t="s">
        <v>45</v>
      </c>
      <c r="H764" t="s">
        <v>55</v>
      </c>
      <c r="I764" t="s">
        <v>64</v>
      </c>
      <c r="J764" t="s">
        <v>57</v>
      </c>
      <c r="K764" t="s">
        <v>58</v>
      </c>
      <c r="L764">
        <v>4</v>
      </c>
      <c r="M764">
        <v>90</v>
      </c>
      <c r="N764" t="s">
        <v>71</v>
      </c>
      <c r="O764">
        <v>8</v>
      </c>
    </row>
    <row r="765" spans="1:15">
      <c r="A765" s="4">
        <v>45841</v>
      </c>
      <c r="B765" t="s">
        <v>101</v>
      </c>
      <c r="C765" t="s">
        <v>73</v>
      </c>
      <c r="D765">
        <v>3540</v>
      </c>
      <c r="E765" t="s">
        <v>62</v>
      </c>
      <c r="F765" t="s">
        <v>855</v>
      </c>
      <c r="G765" t="s">
        <v>46</v>
      </c>
      <c r="H765" t="s">
        <v>55</v>
      </c>
      <c r="I765" t="s">
        <v>84</v>
      </c>
      <c r="J765" t="s">
        <v>65</v>
      </c>
      <c r="K765" t="s">
        <v>76</v>
      </c>
      <c r="L765">
        <v>4</v>
      </c>
      <c r="M765">
        <v>60</v>
      </c>
      <c r="N765" t="s">
        <v>59</v>
      </c>
      <c r="O765">
        <v>15</v>
      </c>
    </row>
    <row r="766" spans="1:15">
      <c r="A766" s="4">
        <v>45738</v>
      </c>
      <c r="B766" t="s">
        <v>116</v>
      </c>
      <c r="C766" t="s">
        <v>98</v>
      </c>
      <c r="D766">
        <v>3070</v>
      </c>
      <c r="E766" t="s">
        <v>53</v>
      </c>
      <c r="F766" t="s">
        <v>856</v>
      </c>
      <c r="G766" t="s">
        <v>46</v>
      </c>
      <c r="H766" t="s">
        <v>55</v>
      </c>
      <c r="I766" t="s">
        <v>79</v>
      </c>
      <c r="J766" t="s">
        <v>65</v>
      </c>
      <c r="K766" t="s">
        <v>76</v>
      </c>
      <c r="L766">
        <v>4</v>
      </c>
      <c r="M766">
        <v>30</v>
      </c>
      <c r="N766" t="s">
        <v>71</v>
      </c>
      <c r="O766">
        <v>20</v>
      </c>
    </row>
    <row r="767" spans="1:15">
      <c r="A767" s="4">
        <v>45838</v>
      </c>
      <c r="B767" t="s">
        <v>94</v>
      </c>
      <c r="C767" t="s">
        <v>86</v>
      </c>
      <c r="D767">
        <v>4520</v>
      </c>
      <c r="E767" t="s">
        <v>53</v>
      </c>
      <c r="F767" t="s">
        <v>857</v>
      </c>
      <c r="G767" t="s">
        <v>45</v>
      </c>
      <c r="H767" t="s">
        <v>70</v>
      </c>
      <c r="I767" t="s">
        <v>79</v>
      </c>
      <c r="J767" t="s">
        <v>65</v>
      </c>
      <c r="K767" t="s">
        <v>58</v>
      </c>
      <c r="L767">
        <v>3</v>
      </c>
      <c r="M767">
        <v>60</v>
      </c>
      <c r="N767" t="s">
        <v>93</v>
      </c>
      <c r="O767">
        <v>11</v>
      </c>
    </row>
    <row r="768" spans="1:15">
      <c r="A768" s="4">
        <v>45983</v>
      </c>
      <c r="B768" t="s">
        <v>51</v>
      </c>
      <c r="C768" t="s">
        <v>73</v>
      </c>
      <c r="D768">
        <v>1690</v>
      </c>
      <c r="E768" t="s">
        <v>74</v>
      </c>
      <c r="F768" t="s">
        <v>858</v>
      </c>
      <c r="G768" t="s">
        <v>46</v>
      </c>
      <c r="H768" t="s">
        <v>55</v>
      </c>
      <c r="I768" t="s">
        <v>79</v>
      </c>
      <c r="J768" t="s">
        <v>65</v>
      </c>
      <c r="K768" t="s">
        <v>58</v>
      </c>
      <c r="L768">
        <v>2</v>
      </c>
      <c r="M768">
        <v>90</v>
      </c>
      <c r="N768" t="s">
        <v>93</v>
      </c>
      <c r="O768">
        <v>16</v>
      </c>
    </row>
    <row r="769" spans="1:15">
      <c r="A769" s="4">
        <v>45757</v>
      </c>
      <c r="B769" t="s">
        <v>85</v>
      </c>
      <c r="C769" t="s">
        <v>98</v>
      </c>
      <c r="D769">
        <v>2370</v>
      </c>
      <c r="E769" t="s">
        <v>74</v>
      </c>
      <c r="F769" t="s">
        <v>859</v>
      </c>
      <c r="G769" t="s">
        <v>46</v>
      </c>
      <c r="H769" t="s">
        <v>55</v>
      </c>
      <c r="I769" t="s">
        <v>64</v>
      </c>
      <c r="J769" t="s">
        <v>65</v>
      </c>
      <c r="K769" t="s">
        <v>76</v>
      </c>
      <c r="L769">
        <v>4</v>
      </c>
      <c r="M769">
        <v>30</v>
      </c>
      <c r="N769" t="s">
        <v>93</v>
      </c>
      <c r="O769">
        <v>19</v>
      </c>
    </row>
    <row r="770" spans="1:15">
      <c r="A770" s="4">
        <v>45678</v>
      </c>
      <c r="B770" t="s">
        <v>60</v>
      </c>
      <c r="C770" t="s">
        <v>81</v>
      </c>
      <c r="D770">
        <v>3210</v>
      </c>
      <c r="E770" t="s">
        <v>53</v>
      </c>
      <c r="F770" t="s">
        <v>860</v>
      </c>
      <c r="G770" t="s">
        <v>45</v>
      </c>
      <c r="H770" t="s">
        <v>55</v>
      </c>
      <c r="I770" t="s">
        <v>64</v>
      </c>
      <c r="J770" t="s">
        <v>57</v>
      </c>
      <c r="K770" t="s">
        <v>58</v>
      </c>
      <c r="L770">
        <v>2</v>
      </c>
      <c r="M770">
        <v>30</v>
      </c>
      <c r="N770" t="s">
        <v>71</v>
      </c>
      <c r="O770">
        <v>20</v>
      </c>
    </row>
    <row r="771" spans="1:15">
      <c r="A771" s="4">
        <v>45971</v>
      </c>
      <c r="B771" t="s">
        <v>67</v>
      </c>
      <c r="C771" t="s">
        <v>73</v>
      </c>
      <c r="D771">
        <v>2600</v>
      </c>
      <c r="E771" t="s">
        <v>53</v>
      </c>
      <c r="F771" t="s">
        <v>861</v>
      </c>
      <c r="G771" t="s">
        <v>46</v>
      </c>
      <c r="H771" t="s">
        <v>55</v>
      </c>
      <c r="I771" t="s">
        <v>56</v>
      </c>
      <c r="J771" t="s">
        <v>57</v>
      </c>
      <c r="K771" t="s">
        <v>76</v>
      </c>
      <c r="L771">
        <v>1</v>
      </c>
      <c r="M771">
        <v>60</v>
      </c>
      <c r="N771" t="s">
        <v>59</v>
      </c>
      <c r="O771">
        <v>8</v>
      </c>
    </row>
    <row r="772" spans="1:15">
      <c r="A772" s="4">
        <v>45822</v>
      </c>
      <c r="B772" t="s">
        <v>51</v>
      </c>
      <c r="C772" t="s">
        <v>81</v>
      </c>
      <c r="D772">
        <v>890</v>
      </c>
      <c r="E772" t="s">
        <v>62</v>
      </c>
      <c r="F772" t="s">
        <v>862</v>
      </c>
      <c r="G772" t="s">
        <v>45</v>
      </c>
      <c r="H772" t="s">
        <v>55</v>
      </c>
      <c r="I772" t="s">
        <v>92</v>
      </c>
      <c r="J772" t="s">
        <v>65</v>
      </c>
      <c r="K772" t="s">
        <v>66</v>
      </c>
      <c r="L772">
        <v>4</v>
      </c>
      <c r="M772">
        <v>30</v>
      </c>
      <c r="N772" t="s">
        <v>93</v>
      </c>
      <c r="O772">
        <v>16</v>
      </c>
    </row>
    <row r="773" spans="1:15">
      <c r="A773" s="4">
        <v>45793</v>
      </c>
      <c r="B773" t="s">
        <v>94</v>
      </c>
      <c r="C773" t="s">
        <v>52</v>
      </c>
      <c r="D773">
        <v>4920</v>
      </c>
      <c r="E773" t="s">
        <v>74</v>
      </c>
      <c r="F773" t="s">
        <v>863</v>
      </c>
      <c r="G773" t="s">
        <v>46</v>
      </c>
      <c r="H773" t="s">
        <v>55</v>
      </c>
      <c r="I773" t="s">
        <v>92</v>
      </c>
      <c r="J773" t="s">
        <v>57</v>
      </c>
      <c r="K773" t="s">
        <v>66</v>
      </c>
      <c r="L773">
        <v>5</v>
      </c>
      <c r="M773">
        <v>60</v>
      </c>
      <c r="N773" t="s">
        <v>71</v>
      </c>
      <c r="O773">
        <v>10</v>
      </c>
    </row>
    <row r="774" spans="1:15">
      <c r="A774" s="4">
        <v>45852</v>
      </c>
      <c r="B774" t="s">
        <v>72</v>
      </c>
      <c r="C774" t="s">
        <v>98</v>
      </c>
      <c r="D774">
        <v>470</v>
      </c>
      <c r="E774" t="s">
        <v>74</v>
      </c>
      <c r="F774" t="s">
        <v>864</v>
      </c>
      <c r="G774" t="s">
        <v>45</v>
      </c>
      <c r="H774" t="s">
        <v>70</v>
      </c>
      <c r="I774" t="s">
        <v>79</v>
      </c>
      <c r="J774" t="s">
        <v>65</v>
      </c>
      <c r="K774" t="s">
        <v>66</v>
      </c>
      <c r="L774">
        <v>1</v>
      </c>
      <c r="M774">
        <v>60</v>
      </c>
      <c r="N774" t="s">
        <v>93</v>
      </c>
      <c r="O774">
        <v>14</v>
      </c>
    </row>
    <row r="775" spans="1:15">
      <c r="A775" s="4">
        <v>45710</v>
      </c>
      <c r="B775" t="s">
        <v>109</v>
      </c>
      <c r="C775" t="s">
        <v>114</v>
      </c>
      <c r="D775">
        <v>4110</v>
      </c>
      <c r="E775" t="s">
        <v>62</v>
      </c>
      <c r="F775" t="s">
        <v>865</v>
      </c>
      <c r="G775" t="s">
        <v>46</v>
      </c>
      <c r="H775" t="s">
        <v>55</v>
      </c>
      <c r="I775" t="s">
        <v>64</v>
      </c>
      <c r="J775" t="s">
        <v>57</v>
      </c>
      <c r="K775" t="s">
        <v>66</v>
      </c>
      <c r="L775">
        <v>4</v>
      </c>
      <c r="M775">
        <v>45</v>
      </c>
      <c r="N775" t="s">
        <v>71</v>
      </c>
      <c r="O775">
        <v>4</v>
      </c>
    </row>
    <row r="776" spans="1:15">
      <c r="A776" s="4">
        <v>45835</v>
      </c>
      <c r="B776" t="s">
        <v>109</v>
      </c>
      <c r="C776" t="s">
        <v>114</v>
      </c>
      <c r="D776">
        <v>2920</v>
      </c>
      <c r="E776" t="s">
        <v>74</v>
      </c>
      <c r="F776" t="s">
        <v>866</v>
      </c>
      <c r="G776" t="s">
        <v>45</v>
      </c>
      <c r="H776" t="s">
        <v>70</v>
      </c>
      <c r="I776" t="s">
        <v>64</v>
      </c>
      <c r="J776" t="s">
        <v>65</v>
      </c>
      <c r="K776" t="s">
        <v>76</v>
      </c>
      <c r="L776">
        <v>3</v>
      </c>
      <c r="M776">
        <v>45</v>
      </c>
      <c r="N776" t="s">
        <v>59</v>
      </c>
      <c r="O776">
        <v>3</v>
      </c>
    </row>
    <row r="777" spans="1:15">
      <c r="A777" s="4">
        <v>45809</v>
      </c>
      <c r="B777" t="s">
        <v>109</v>
      </c>
      <c r="C777" t="s">
        <v>86</v>
      </c>
      <c r="D777">
        <v>590</v>
      </c>
      <c r="E777" t="s">
        <v>74</v>
      </c>
      <c r="F777" t="s">
        <v>867</v>
      </c>
      <c r="G777" t="s">
        <v>46</v>
      </c>
      <c r="H777" t="s">
        <v>55</v>
      </c>
      <c r="I777" t="s">
        <v>79</v>
      </c>
      <c r="J777" t="s">
        <v>65</v>
      </c>
      <c r="K777" t="s">
        <v>76</v>
      </c>
      <c r="L777">
        <v>1</v>
      </c>
      <c r="M777">
        <v>30</v>
      </c>
      <c r="N777" t="s">
        <v>59</v>
      </c>
      <c r="O777">
        <v>15</v>
      </c>
    </row>
    <row r="778" spans="1:15">
      <c r="A778" s="4">
        <v>45973</v>
      </c>
      <c r="B778" t="s">
        <v>60</v>
      </c>
      <c r="C778" t="s">
        <v>73</v>
      </c>
      <c r="D778">
        <v>3270</v>
      </c>
      <c r="E778" t="s">
        <v>74</v>
      </c>
      <c r="F778" t="s">
        <v>868</v>
      </c>
      <c r="G778" t="s">
        <v>46</v>
      </c>
      <c r="H778" t="s">
        <v>70</v>
      </c>
      <c r="I778" t="s">
        <v>56</v>
      </c>
      <c r="J778" t="s">
        <v>65</v>
      </c>
      <c r="K778" t="s">
        <v>66</v>
      </c>
      <c r="L778">
        <v>1</v>
      </c>
      <c r="M778">
        <v>60</v>
      </c>
      <c r="N778" t="s">
        <v>59</v>
      </c>
      <c r="O778">
        <v>11</v>
      </c>
    </row>
    <row r="779" spans="1:15">
      <c r="A779" s="4">
        <v>45896</v>
      </c>
      <c r="B779" t="s">
        <v>116</v>
      </c>
      <c r="C779" t="s">
        <v>77</v>
      </c>
      <c r="D779">
        <v>3390</v>
      </c>
      <c r="E779" t="s">
        <v>62</v>
      </c>
      <c r="F779" t="s">
        <v>869</v>
      </c>
      <c r="G779" t="s">
        <v>46</v>
      </c>
      <c r="H779" t="s">
        <v>55</v>
      </c>
      <c r="I779" t="s">
        <v>56</v>
      </c>
      <c r="J779" t="s">
        <v>57</v>
      </c>
      <c r="K779" t="s">
        <v>76</v>
      </c>
      <c r="L779">
        <v>1</v>
      </c>
      <c r="M779">
        <v>90</v>
      </c>
      <c r="N779" t="s">
        <v>71</v>
      </c>
      <c r="O779">
        <v>4</v>
      </c>
    </row>
    <row r="780" spans="1:15">
      <c r="A780" s="4">
        <v>45866</v>
      </c>
      <c r="B780" t="s">
        <v>60</v>
      </c>
      <c r="C780" t="s">
        <v>86</v>
      </c>
      <c r="D780">
        <v>4930</v>
      </c>
      <c r="E780" t="s">
        <v>53</v>
      </c>
      <c r="F780" t="s">
        <v>870</v>
      </c>
      <c r="G780" t="s">
        <v>45</v>
      </c>
      <c r="H780" t="s">
        <v>55</v>
      </c>
      <c r="I780" t="s">
        <v>84</v>
      </c>
      <c r="J780" t="s">
        <v>65</v>
      </c>
      <c r="K780" t="s">
        <v>66</v>
      </c>
      <c r="L780">
        <v>3</v>
      </c>
      <c r="M780">
        <v>90</v>
      </c>
      <c r="N780" t="s">
        <v>59</v>
      </c>
      <c r="O780">
        <v>18</v>
      </c>
    </row>
    <row r="781" spans="1:15">
      <c r="A781" s="4">
        <v>45967</v>
      </c>
      <c r="B781" t="s">
        <v>80</v>
      </c>
      <c r="C781" t="s">
        <v>81</v>
      </c>
      <c r="D781">
        <v>770</v>
      </c>
      <c r="E781" t="s">
        <v>62</v>
      </c>
      <c r="F781" t="s">
        <v>871</v>
      </c>
      <c r="G781" t="s">
        <v>46</v>
      </c>
      <c r="H781" t="s">
        <v>55</v>
      </c>
      <c r="I781" t="s">
        <v>92</v>
      </c>
      <c r="J781" t="s">
        <v>57</v>
      </c>
      <c r="K781" t="s">
        <v>76</v>
      </c>
      <c r="L781">
        <v>2</v>
      </c>
      <c r="M781">
        <v>60</v>
      </c>
      <c r="N781" t="s">
        <v>71</v>
      </c>
      <c r="O781">
        <v>16</v>
      </c>
    </row>
    <row r="782" spans="1:15">
      <c r="A782" s="4">
        <v>45907</v>
      </c>
      <c r="B782" t="s">
        <v>85</v>
      </c>
      <c r="C782" t="s">
        <v>61</v>
      </c>
      <c r="D782">
        <v>4590</v>
      </c>
      <c r="E782" t="s">
        <v>62</v>
      </c>
      <c r="F782" t="s">
        <v>872</v>
      </c>
      <c r="G782" t="s">
        <v>46</v>
      </c>
      <c r="H782" t="s">
        <v>70</v>
      </c>
      <c r="I782" t="s">
        <v>64</v>
      </c>
      <c r="J782" t="s">
        <v>57</v>
      </c>
      <c r="K782" t="s">
        <v>58</v>
      </c>
      <c r="L782">
        <v>3</v>
      </c>
      <c r="M782">
        <v>90</v>
      </c>
      <c r="N782" t="s">
        <v>59</v>
      </c>
      <c r="O782">
        <v>15</v>
      </c>
    </row>
    <row r="783" spans="1:15">
      <c r="A783" s="4">
        <v>45793</v>
      </c>
      <c r="B783" t="s">
        <v>94</v>
      </c>
      <c r="C783" t="s">
        <v>73</v>
      </c>
      <c r="D783">
        <v>3100</v>
      </c>
      <c r="E783" t="s">
        <v>62</v>
      </c>
      <c r="F783" t="s">
        <v>873</v>
      </c>
      <c r="G783" t="s">
        <v>45</v>
      </c>
      <c r="H783" t="s">
        <v>70</v>
      </c>
      <c r="I783" t="s">
        <v>56</v>
      </c>
      <c r="J783" t="s">
        <v>57</v>
      </c>
      <c r="K783" t="s">
        <v>58</v>
      </c>
      <c r="L783">
        <v>3</v>
      </c>
      <c r="M783">
        <v>45</v>
      </c>
      <c r="N783" t="s">
        <v>93</v>
      </c>
      <c r="O783">
        <v>6</v>
      </c>
    </row>
    <row r="784" spans="1:15">
      <c r="A784" s="4">
        <v>45866</v>
      </c>
      <c r="B784" t="s">
        <v>60</v>
      </c>
      <c r="C784" t="s">
        <v>95</v>
      </c>
      <c r="D784">
        <v>2870</v>
      </c>
      <c r="E784" t="s">
        <v>74</v>
      </c>
      <c r="F784" t="s">
        <v>874</v>
      </c>
      <c r="G784" t="s">
        <v>46</v>
      </c>
      <c r="H784" t="s">
        <v>70</v>
      </c>
      <c r="I784" t="s">
        <v>88</v>
      </c>
      <c r="J784" t="s">
        <v>57</v>
      </c>
      <c r="K784" t="s">
        <v>76</v>
      </c>
      <c r="L784">
        <v>4</v>
      </c>
      <c r="M784">
        <v>90</v>
      </c>
      <c r="N784" t="s">
        <v>59</v>
      </c>
      <c r="O784">
        <v>17</v>
      </c>
    </row>
    <row r="785" spans="1:15">
      <c r="A785" s="4">
        <v>45778</v>
      </c>
      <c r="B785" t="s">
        <v>85</v>
      </c>
      <c r="C785" t="s">
        <v>86</v>
      </c>
      <c r="D785">
        <v>1850</v>
      </c>
      <c r="E785" t="s">
        <v>53</v>
      </c>
      <c r="F785" t="s">
        <v>875</v>
      </c>
      <c r="G785" t="s">
        <v>46</v>
      </c>
      <c r="H785" t="s">
        <v>70</v>
      </c>
      <c r="I785" t="s">
        <v>84</v>
      </c>
      <c r="J785" t="s">
        <v>57</v>
      </c>
      <c r="K785" t="s">
        <v>66</v>
      </c>
      <c r="L785">
        <v>4</v>
      </c>
      <c r="M785">
        <v>90</v>
      </c>
      <c r="N785" t="s">
        <v>59</v>
      </c>
      <c r="O785">
        <v>7</v>
      </c>
    </row>
    <row r="786" spans="1:15">
      <c r="A786" s="4">
        <v>45716</v>
      </c>
      <c r="B786" t="s">
        <v>67</v>
      </c>
      <c r="C786" t="s">
        <v>98</v>
      </c>
      <c r="D786">
        <v>2280</v>
      </c>
      <c r="E786" t="s">
        <v>74</v>
      </c>
      <c r="F786" t="s">
        <v>876</v>
      </c>
      <c r="G786" t="s">
        <v>45</v>
      </c>
      <c r="H786" t="s">
        <v>70</v>
      </c>
      <c r="I786" t="s">
        <v>88</v>
      </c>
      <c r="J786" t="s">
        <v>65</v>
      </c>
      <c r="K786" t="s">
        <v>66</v>
      </c>
      <c r="L786">
        <v>4</v>
      </c>
      <c r="M786">
        <v>60</v>
      </c>
      <c r="N786" t="s">
        <v>93</v>
      </c>
      <c r="O786">
        <v>13</v>
      </c>
    </row>
    <row r="787" spans="1:15">
      <c r="A787" s="4">
        <v>45673</v>
      </c>
      <c r="B787" t="s">
        <v>90</v>
      </c>
      <c r="C787" t="s">
        <v>114</v>
      </c>
      <c r="D787">
        <v>2430</v>
      </c>
      <c r="E787" t="s">
        <v>53</v>
      </c>
      <c r="F787" t="s">
        <v>877</v>
      </c>
      <c r="G787" t="s">
        <v>46</v>
      </c>
      <c r="H787" t="s">
        <v>70</v>
      </c>
      <c r="I787" t="s">
        <v>88</v>
      </c>
      <c r="J787" t="s">
        <v>65</v>
      </c>
      <c r="K787" t="s">
        <v>76</v>
      </c>
      <c r="L787">
        <v>4</v>
      </c>
      <c r="M787">
        <v>45</v>
      </c>
      <c r="N787" t="s">
        <v>71</v>
      </c>
      <c r="O787">
        <v>16</v>
      </c>
    </row>
    <row r="788" spans="1:15">
      <c r="A788" s="4">
        <v>45754</v>
      </c>
      <c r="B788" t="s">
        <v>109</v>
      </c>
      <c r="C788" t="s">
        <v>73</v>
      </c>
      <c r="D788">
        <v>660</v>
      </c>
      <c r="E788" t="s">
        <v>62</v>
      </c>
      <c r="F788" t="s">
        <v>878</v>
      </c>
      <c r="G788" t="s">
        <v>45</v>
      </c>
      <c r="H788" t="s">
        <v>55</v>
      </c>
      <c r="I788" t="s">
        <v>84</v>
      </c>
      <c r="J788" t="s">
        <v>65</v>
      </c>
      <c r="K788" t="s">
        <v>66</v>
      </c>
      <c r="L788">
        <v>2</v>
      </c>
      <c r="M788">
        <v>90</v>
      </c>
      <c r="N788" t="s">
        <v>59</v>
      </c>
      <c r="O788">
        <v>16</v>
      </c>
    </row>
    <row r="789" spans="1:15">
      <c r="A789" s="4">
        <v>45691</v>
      </c>
      <c r="B789" t="s">
        <v>85</v>
      </c>
      <c r="C789" t="s">
        <v>52</v>
      </c>
      <c r="D789">
        <v>3970</v>
      </c>
      <c r="E789" t="s">
        <v>74</v>
      </c>
      <c r="F789" t="s">
        <v>879</v>
      </c>
      <c r="G789" t="s">
        <v>45</v>
      </c>
      <c r="H789" t="s">
        <v>70</v>
      </c>
      <c r="I789" t="s">
        <v>92</v>
      </c>
      <c r="J789" t="s">
        <v>65</v>
      </c>
      <c r="K789" t="s">
        <v>66</v>
      </c>
      <c r="L789">
        <v>3</v>
      </c>
      <c r="M789">
        <v>30</v>
      </c>
      <c r="N789" t="s">
        <v>59</v>
      </c>
      <c r="O789">
        <v>20</v>
      </c>
    </row>
    <row r="790" spans="1:15">
      <c r="A790" s="4">
        <v>45920</v>
      </c>
      <c r="B790" t="s">
        <v>116</v>
      </c>
      <c r="C790" t="s">
        <v>95</v>
      </c>
      <c r="D790">
        <v>1360</v>
      </c>
      <c r="E790" t="s">
        <v>62</v>
      </c>
      <c r="F790" t="s">
        <v>880</v>
      </c>
      <c r="G790" t="s">
        <v>46</v>
      </c>
      <c r="H790" t="s">
        <v>55</v>
      </c>
      <c r="I790" t="s">
        <v>79</v>
      </c>
      <c r="J790" t="s">
        <v>57</v>
      </c>
      <c r="K790" t="s">
        <v>66</v>
      </c>
      <c r="L790">
        <v>1</v>
      </c>
      <c r="M790">
        <v>60</v>
      </c>
      <c r="N790" t="s">
        <v>93</v>
      </c>
      <c r="O790">
        <v>13</v>
      </c>
    </row>
    <row r="791" spans="1:15">
      <c r="A791" s="4">
        <v>45975</v>
      </c>
      <c r="B791" t="s">
        <v>85</v>
      </c>
      <c r="C791" t="s">
        <v>61</v>
      </c>
      <c r="D791">
        <v>4280</v>
      </c>
      <c r="E791" t="s">
        <v>62</v>
      </c>
      <c r="F791" t="s">
        <v>881</v>
      </c>
      <c r="G791" t="s">
        <v>46</v>
      </c>
      <c r="H791" t="s">
        <v>70</v>
      </c>
      <c r="I791" t="s">
        <v>79</v>
      </c>
      <c r="J791" t="s">
        <v>65</v>
      </c>
      <c r="K791" t="s">
        <v>58</v>
      </c>
      <c r="L791">
        <v>2</v>
      </c>
      <c r="M791">
        <v>45</v>
      </c>
      <c r="N791" t="s">
        <v>93</v>
      </c>
      <c r="O791">
        <v>7</v>
      </c>
    </row>
    <row r="792" spans="1:15">
      <c r="A792" s="4">
        <v>45816</v>
      </c>
      <c r="B792" t="s">
        <v>80</v>
      </c>
      <c r="C792" t="s">
        <v>81</v>
      </c>
      <c r="D792">
        <v>2140</v>
      </c>
      <c r="E792" t="s">
        <v>62</v>
      </c>
      <c r="F792" t="s">
        <v>882</v>
      </c>
      <c r="G792" t="s">
        <v>45</v>
      </c>
      <c r="H792" t="s">
        <v>55</v>
      </c>
      <c r="I792" t="s">
        <v>79</v>
      </c>
      <c r="J792" t="s">
        <v>65</v>
      </c>
      <c r="K792" t="s">
        <v>58</v>
      </c>
      <c r="L792">
        <v>1</v>
      </c>
      <c r="M792">
        <v>90</v>
      </c>
      <c r="N792" t="s">
        <v>59</v>
      </c>
      <c r="O792">
        <v>13</v>
      </c>
    </row>
    <row r="793" spans="1:15">
      <c r="A793" s="4">
        <v>45943</v>
      </c>
      <c r="B793" t="s">
        <v>51</v>
      </c>
      <c r="C793" t="s">
        <v>86</v>
      </c>
      <c r="D793">
        <v>980</v>
      </c>
      <c r="E793" t="s">
        <v>53</v>
      </c>
      <c r="F793" t="s">
        <v>883</v>
      </c>
      <c r="G793" t="s">
        <v>46</v>
      </c>
      <c r="H793" t="s">
        <v>55</v>
      </c>
      <c r="I793" t="s">
        <v>92</v>
      </c>
      <c r="J793" t="s">
        <v>57</v>
      </c>
      <c r="K793" t="s">
        <v>66</v>
      </c>
      <c r="L793">
        <v>4</v>
      </c>
      <c r="M793">
        <v>30</v>
      </c>
      <c r="N793" t="s">
        <v>59</v>
      </c>
      <c r="O793">
        <v>14</v>
      </c>
    </row>
    <row r="794" spans="1:15">
      <c r="A794" s="4">
        <v>45934</v>
      </c>
      <c r="B794" t="s">
        <v>60</v>
      </c>
      <c r="C794" t="s">
        <v>73</v>
      </c>
      <c r="D794">
        <v>800</v>
      </c>
      <c r="E794" t="s">
        <v>74</v>
      </c>
      <c r="F794" t="s">
        <v>884</v>
      </c>
      <c r="G794" t="s">
        <v>45</v>
      </c>
      <c r="H794" t="s">
        <v>70</v>
      </c>
      <c r="I794" t="s">
        <v>92</v>
      </c>
      <c r="J794" t="s">
        <v>65</v>
      </c>
      <c r="K794" t="s">
        <v>66</v>
      </c>
      <c r="L794">
        <v>1</v>
      </c>
      <c r="M794">
        <v>30</v>
      </c>
      <c r="N794" t="s">
        <v>93</v>
      </c>
      <c r="O794">
        <v>14</v>
      </c>
    </row>
    <row r="795" spans="1:15">
      <c r="A795" s="4">
        <v>45844</v>
      </c>
      <c r="B795" t="s">
        <v>72</v>
      </c>
      <c r="C795" t="s">
        <v>81</v>
      </c>
      <c r="D795">
        <v>4920</v>
      </c>
      <c r="E795" t="s">
        <v>74</v>
      </c>
      <c r="F795" t="s">
        <v>885</v>
      </c>
      <c r="G795" t="s">
        <v>46</v>
      </c>
      <c r="H795" t="s">
        <v>55</v>
      </c>
      <c r="I795" t="s">
        <v>79</v>
      </c>
      <c r="J795" t="s">
        <v>65</v>
      </c>
      <c r="K795" t="s">
        <v>58</v>
      </c>
      <c r="L795">
        <v>3</v>
      </c>
      <c r="M795">
        <v>30</v>
      </c>
      <c r="N795" t="s">
        <v>71</v>
      </c>
      <c r="O795">
        <v>20</v>
      </c>
    </row>
    <row r="796" spans="1:15">
      <c r="A796" s="4">
        <v>45907</v>
      </c>
      <c r="B796" t="s">
        <v>80</v>
      </c>
      <c r="C796" t="s">
        <v>77</v>
      </c>
      <c r="D796">
        <v>1920</v>
      </c>
      <c r="E796" t="s">
        <v>53</v>
      </c>
      <c r="F796" t="s">
        <v>886</v>
      </c>
      <c r="G796" t="s">
        <v>45</v>
      </c>
      <c r="H796" t="s">
        <v>70</v>
      </c>
      <c r="I796" t="s">
        <v>88</v>
      </c>
      <c r="J796" t="s">
        <v>57</v>
      </c>
      <c r="K796" t="s">
        <v>66</v>
      </c>
      <c r="L796">
        <v>3</v>
      </c>
      <c r="M796">
        <v>45</v>
      </c>
      <c r="N796" t="s">
        <v>71</v>
      </c>
      <c r="O796">
        <v>18</v>
      </c>
    </row>
    <row r="797" spans="1:15">
      <c r="A797" s="4">
        <v>45890</v>
      </c>
      <c r="B797" t="s">
        <v>72</v>
      </c>
      <c r="C797" t="s">
        <v>61</v>
      </c>
      <c r="D797">
        <v>3070</v>
      </c>
      <c r="E797" t="s">
        <v>62</v>
      </c>
      <c r="F797" t="s">
        <v>887</v>
      </c>
      <c r="G797" t="s">
        <v>45</v>
      </c>
      <c r="H797" t="s">
        <v>70</v>
      </c>
      <c r="I797" t="s">
        <v>64</v>
      </c>
      <c r="J797" t="s">
        <v>57</v>
      </c>
      <c r="K797" t="s">
        <v>66</v>
      </c>
      <c r="L797">
        <v>3</v>
      </c>
      <c r="M797">
        <v>90</v>
      </c>
      <c r="N797" t="s">
        <v>59</v>
      </c>
      <c r="O797">
        <v>16</v>
      </c>
    </row>
    <row r="798" spans="1:15">
      <c r="A798" s="4">
        <v>45935</v>
      </c>
      <c r="B798" t="s">
        <v>51</v>
      </c>
      <c r="C798" t="s">
        <v>86</v>
      </c>
      <c r="D798">
        <v>890</v>
      </c>
      <c r="E798" t="s">
        <v>74</v>
      </c>
      <c r="F798" t="s">
        <v>888</v>
      </c>
      <c r="G798" t="s">
        <v>46</v>
      </c>
      <c r="H798" t="s">
        <v>55</v>
      </c>
      <c r="I798" t="s">
        <v>79</v>
      </c>
      <c r="J798" t="s">
        <v>65</v>
      </c>
      <c r="K798" t="s">
        <v>76</v>
      </c>
      <c r="L798">
        <v>4</v>
      </c>
      <c r="M798">
        <v>30</v>
      </c>
      <c r="N798" t="s">
        <v>59</v>
      </c>
      <c r="O798">
        <v>9</v>
      </c>
    </row>
    <row r="799" spans="1:15">
      <c r="A799" s="4">
        <v>45958</v>
      </c>
      <c r="B799" t="s">
        <v>97</v>
      </c>
      <c r="C799" t="s">
        <v>77</v>
      </c>
      <c r="D799">
        <v>1060</v>
      </c>
      <c r="E799" t="s">
        <v>62</v>
      </c>
      <c r="F799" t="s">
        <v>889</v>
      </c>
      <c r="G799" t="s">
        <v>45</v>
      </c>
      <c r="H799" t="s">
        <v>55</v>
      </c>
      <c r="I799" t="s">
        <v>88</v>
      </c>
      <c r="J799" t="s">
        <v>57</v>
      </c>
      <c r="K799" t="s">
        <v>76</v>
      </c>
      <c r="L799">
        <v>3</v>
      </c>
      <c r="M799">
        <v>60</v>
      </c>
      <c r="N799" t="s">
        <v>93</v>
      </c>
      <c r="O799">
        <v>16</v>
      </c>
    </row>
    <row r="800" spans="1:15">
      <c r="A800" s="4">
        <v>45813</v>
      </c>
      <c r="B800" t="s">
        <v>97</v>
      </c>
      <c r="C800" t="s">
        <v>68</v>
      </c>
      <c r="D800">
        <v>3240</v>
      </c>
      <c r="E800" t="s">
        <v>53</v>
      </c>
      <c r="F800" t="s">
        <v>890</v>
      </c>
      <c r="G800" t="s">
        <v>45</v>
      </c>
      <c r="H800" t="s">
        <v>55</v>
      </c>
      <c r="I800" t="s">
        <v>64</v>
      </c>
      <c r="J800" t="s">
        <v>65</v>
      </c>
      <c r="K800" t="s">
        <v>76</v>
      </c>
      <c r="L800">
        <v>4</v>
      </c>
      <c r="M800">
        <v>60</v>
      </c>
      <c r="N800" t="s">
        <v>59</v>
      </c>
      <c r="O800">
        <v>14</v>
      </c>
    </row>
    <row r="801" spans="1:15">
      <c r="A801" s="4">
        <v>45793</v>
      </c>
      <c r="B801" t="s">
        <v>85</v>
      </c>
      <c r="C801" t="s">
        <v>114</v>
      </c>
      <c r="D801">
        <v>1390</v>
      </c>
      <c r="E801" t="s">
        <v>62</v>
      </c>
      <c r="F801" t="s">
        <v>891</v>
      </c>
      <c r="G801" t="s">
        <v>45</v>
      </c>
      <c r="H801" t="s">
        <v>55</v>
      </c>
      <c r="I801" t="s">
        <v>92</v>
      </c>
      <c r="J801" t="s">
        <v>65</v>
      </c>
      <c r="K801" t="s">
        <v>66</v>
      </c>
      <c r="L801">
        <v>1</v>
      </c>
      <c r="M801">
        <v>30</v>
      </c>
      <c r="N801" t="s">
        <v>71</v>
      </c>
      <c r="O801">
        <v>20</v>
      </c>
    </row>
    <row r="802" spans="1:15">
      <c r="A802" s="4">
        <v>45803</v>
      </c>
      <c r="B802" t="s">
        <v>72</v>
      </c>
      <c r="C802" t="s">
        <v>86</v>
      </c>
      <c r="D802">
        <v>1800</v>
      </c>
      <c r="E802" t="s">
        <v>74</v>
      </c>
      <c r="F802" t="s">
        <v>892</v>
      </c>
      <c r="G802" t="s">
        <v>46</v>
      </c>
      <c r="H802" t="s">
        <v>55</v>
      </c>
      <c r="I802" t="s">
        <v>92</v>
      </c>
      <c r="J802" t="s">
        <v>57</v>
      </c>
      <c r="K802" t="s">
        <v>76</v>
      </c>
      <c r="L802">
        <v>4</v>
      </c>
      <c r="M802">
        <v>60</v>
      </c>
      <c r="N802" t="s">
        <v>93</v>
      </c>
      <c r="O802">
        <v>14</v>
      </c>
    </row>
    <row r="803" spans="1:15">
      <c r="A803" s="4">
        <v>45804</v>
      </c>
      <c r="B803" t="s">
        <v>97</v>
      </c>
      <c r="C803" t="s">
        <v>98</v>
      </c>
      <c r="D803">
        <v>3070</v>
      </c>
      <c r="E803" t="s">
        <v>53</v>
      </c>
      <c r="F803" t="s">
        <v>893</v>
      </c>
      <c r="G803" t="s">
        <v>46</v>
      </c>
      <c r="H803" t="s">
        <v>55</v>
      </c>
      <c r="I803" t="s">
        <v>56</v>
      </c>
      <c r="J803" t="s">
        <v>65</v>
      </c>
      <c r="K803" t="s">
        <v>76</v>
      </c>
      <c r="L803">
        <v>1</v>
      </c>
      <c r="M803">
        <v>45</v>
      </c>
      <c r="N803" t="s">
        <v>93</v>
      </c>
      <c r="O803">
        <v>12</v>
      </c>
    </row>
    <row r="804" spans="1:15">
      <c r="A804" s="4">
        <v>45686</v>
      </c>
      <c r="B804" t="s">
        <v>85</v>
      </c>
      <c r="C804" t="s">
        <v>114</v>
      </c>
      <c r="D804">
        <v>2100</v>
      </c>
      <c r="E804" t="s">
        <v>74</v>
      </c>
      <c r="F804" t="s">
        <v>894</v>
      </c>
      <c r="G804" t="s">
        <v>45</v>
      </c>
      <c r="H804" t="s">
        <v>55</v>
      </c>
      <c r="I804" t="s">
        <v>64</v>
      </c>
      <c r="J804" t="s">
        <v>65</v>
      </c>
      <c r="K804" t="s">
        <v>76</v>
      </c>
      <c r="L804">
        <v>4</v>
      </c>
      <c r="M804">
        <v>60</v>
      </c>
      <c r="N804" t="s">
        <v>71</v>
      </c>
      <c r="O804">
        <v>3</v>
      </c>
    </row>
    <row r="805" spans="1:15">
      <c r="A805" s="4">
        <v>45785</v>
      </c>
      <c r="B805" t="s">
        <v>97</v>
      </c>
      <c r="C805" t="s">
        <v>86</v>
      </c>
      <c r="D805">
        <v>1690</v>
      </c>
      <c r="E805" t="s">
        <v>62</v>
      </c>
      <c r="F805" t="s">
        <v>895</v>
      </c>
      <c r="G805" t="s">
        <v>46</v>
      </c>
      <c r="H805" t="s">
        <v>70</v>
      </c>
      <c r="I805" t="s">
        <v>84</v>
      </c>
      <c r="J805" t="s">
        <v>65</v>
      </c>
      <c r="K805" t="s">
        <v>66</v>
      </c>
      <c r="L805">
        <v>3</v>
      </c>
      <c r="M805">
        <v>45</v>
      </c>
      <c r="N805" t="s">
        <v>59</v>
      </c>
      <c r="O805">
        <v>5</v>
      </c>
    </row>
    <row r="806" spans="1:15">
      <c r="A806" s="4">
        <v>45828</v>
      </c>
      <c r="B806" t="s">
        <v>109</v>
      </c>
      <c r="C806" t="s">
        <v>81</v>
      </c>
      <c r="D806">
        <v>4130</v>
      </c>
      <c r="E806" t="s">
        <v>74</v>
      </c>
      <c r="F806" t="s">
        <v>896</v>
      </c>
      <c r="G806" t="s">
        <v>45</v>
      </c>
      <c r="H806" t="s">
        <v>55</v>
      </c>
      <c r="I806" t="s">
        <v>92</v>
      </c>
      <c r="J806" t="s">
        <v>65</v>
      </c>
      <c r="K806" t="s">
        <v>66</v>
      </c>
      <c r="L806">
        <v>2</v>
      </c>
      <c r="M806">
        <v>30</v>
      </c>
      <c r="N806" t="s">
        <v>93</v>
      </c>
      <c r="O806">
        <v>20</v>
      </c>
    </row>
    <row r="807" spans="1:15">
      <c r="A807" s="4">
        <v>45916</v>
      </c>
      <c r="B807" t="s">
        <v>101</v>
      </c>
      <c r="C807" t="s">
        <v>81</v>
      </c>
      <c r="D807">
        <v>510</v>
      </c>
      <c r="E807" t="s">
        <v>53</v>
      </c>
      <c r="F807" t="s">
        <v>897</v>
      </c>
      <c r="G807" t="s">
        <v>46</v>
      </c>
      <c r="H807" t="s">
        <v>55</v>
      </c>
      <c r="I807" t="s">
        <v>84</v>
      </c>
      <c r="J807" t="s">
        <v>65</v>
      </c>
      <c r="K807" t="s">
        <v>76</v>
      </c>
      <c r="L807">
        <v>3</v>
      </c>
      <c r="M807">
        <v>90</v>
      </c>
      <c r="N807" t="s">
        <v>93</v>
      </c>
      <c r="O807">
        <v>17</v>
      </c>
    </row>
    <row r="808" spans="1:15">
      <c r="A808" s="4">
        <v>45727</v>
      </c>
      <c r="B808" t="s">
        <v>90</v>
      </c>
      <c r="C808" t="s">
        <v>98</v>
      </c>
      <c r="D808">
        <v>4400</v>
      </c>
      <c r="E808" t="s">
        <v>62</v>
      </c>
      <c r="F808" t="s">
        <v>898</v>
      </c>
      <c r="G808" t="s">
        <v>45</v>
      </c>
      <c r="H808" t="s">
        <v>70</v>
      </c>
      <c r="I808" t="s">
        <v>92</v>
      </c>
      <c r="J808" t="s">
        <v>65</v>
      </c>
      <c r="K808" t="s">
        <v>76</v>
      </c>
      <c r="L808">
        <v>5</v>
      </c>
      <c r="M808">
        <v>45</v>
      </c>
      <c r="N808" t="s">
        <v>59</v>
      </c>
      <c r="O808">
        <v>8</v>
      </c>
    </row>
    <row r="809" spans="1:15">
      <c r="A809" s="4">
        <v>45888</v>
      </c>
      <c r="B809" t="s">
        <v>72</v>
      </c>
      <c r="C809" t="s">
        <v>98</v>
      </c>
      <c r="D809">
        <v>1340</v>
      </c>
      <c r="E809" t="s">
        <v>53</v>
      </c>
      <c r="F809" t="s">
        <v>899</v>
      </c>
      <c r="G809" t="s">
        <v>46</v>
      </c>
      <c r="H809" t="s">
        <v>55</v>
      </c>
      <c r="I809" t="s">
        <v>56</v>
      </c>
      <c r="J809" t="s">
        <v>57</v>
      </c>
      <c r="K809" t="s">
        <v>76</v>
      </c>
      <c r="L809">
        <v>3</v>
      </c>
      <c r="M809">
        <v>90</v>
      </c>
      <c r="N809" t="s">
        <v>59</v>
      </c>
      <c r="O809">
        <v>14</v>
      </c>
    </row>
    <row r="810" spans="1:15">
      <c r="A810" s="4">
        <v>46010</v>
      </c>
      <c r="B810" t="s">
        <v>85</v>
      </c>
      <c r="C810" t="s">
        <v>52</v>
      </c>
      <c r="D810">
        <v>3960</v>
      </c>
      <c r="E810" t="s">
        <v>74</v>
      </c>
      <c r="F810" t="s">
        <v>900</v>
      </c>
      <c r="G810" t="s">
        <v>46</v>
      </c>
      <c r="H810" t="s">
        <v>55</v>
      </c>
      <c r="I810" t="s">
        <v>56</v>
      </c>
      <c r="J810" t="s">
        <v>57</v>
      </c>
      <c r="K810" t="s">
        <v>66</v>
      </c>
      <c r="L810">
        <v>2</v>
      </c>
      <c r="M810">
        <v>45</v>
      </c>
      <c r="N810" t="s">
        <v>59</v>
      </c>
      <c r="O810">
        <v>14</v>
      </c>
    </row>
    <row r="811" spans="1:15">
      <c r="A811" s="4">
        <v>45827</v>
      </c>
      <c r="B811" t="s">
        <v>72</v>
      </c>
      <c r="C811" t="s">
        <v>95</v>
      </c>
      <c r="D811">
        <v>4690</v>
      </c>
      <c r="E811" t="s">
        <v>74</v>
      </c>
      <c r="F811" t="s">
        <v>901</v>
      </c>
      <c r="G811" t="s">
        <v>45</v>
      </c>
      <c r="H811" t="s">
        <v>70</v>
      </c>
      <c r="I811" t="s">
        <v>64</v>
      </c>
      <c r="J811" t="s">
        <v>57</v>
      </c>
      <c r="K811" t="s">
        <v>66</v>
      </c>
      <c r="L811">
        <v>3</v>
      </c>
      <c r="M811">
        <v>30</v>
      </c>
      <c r="N811" t="s">
        <v>59</v>
      </c>
      <c r="O811">
        <v>10</v>
      </c>
    </row>
    <row r="812" spans="1:15">
      <c r="A812" s="4">
        <v>45925</v>
      </c>
      <c r="B812" t="s">
        <v>101</v>
      </c>
      <c r="C812" t="s">
        <v>114</v>
      </c>
      <c r="D812">
        <v>2350</v>
      </c>
      <c r="E812" t="s">
        <v>62</v>
      </c>
      <c r="F812" t="s">
        <v>902</v>
      </c>
      <c r="G812" t="s">
        <v>45</v>
      </c>
      <c r="H812" t="s">
        <v>55</v>
      </c>
      <c r="I812" t="s">
        <v>84</v>
      </c>
      <c r="J812" t="s">
        <v>57</v>
      </c>
      <c r="K812" t="s">
        <v>76</v>
      </c>
      <c r="L812">
        <v>1</v>
      </c>
      <c r="M812">
        <v>30</v>
      </c>
      <c r="N812" t="s">
        <v>59</v>
      </c>
      <c r="O812">
        <v>18</v>
      </c>
    </row>
    <row r="813" spans="1:15">
      <c r="A813" s="4">
        <v>45900</v>
      </c>
      <c r="B813" t="s">
        <v>101</v>
      </c>
      <c r="C813" t="s">
        <v>81</v>
      </c>
      <c r="D813">
        <v>3390</v>
      </c>
      <c r="E813" t="s">
        <v>53</v>
      </c>
      <c r="F813" t="s">
        <v>903</v>
      </c>
      <c r="G813" t="s">
        <v>46</v>
      </c>
      <c r="H813" t="s">
        <v>55</v>
      </c>
      <c r="I813" t="s">
        <v>64</v>
      </c>
      <c r="J813" t="s">
        <v>57</v>
      </c>
      <c r="K813" t="s">
        <v>58</v>
      </c>
      <c r="L813">
        <v>3</v>
      </c>
      <c r="M813">
        <v>30</v>
      </c>
      <c r="N813" t="s">
        <v>93</v>
      </c>
      <c r="O813">
        <v>19</v>
      </c>
    </row>
    <row r="814" spans="1:15">
      <c r="A814" s="4">
        <v>45845</v>
      </c>
      <c r="B814" t="s">
        <v>97</v>
      </c>
      <c r="C814" t="s">
        <v>77</v>
      </c>
      <c r="D814">
        <v>2610</v>
      </c>
      <c r="E814" t="s">
        <v>53</v>
      </c>
      <c r="F814" t="s">
        <v>904</v>
      </c>
      <c r="G814" t="s">
        <v>46</v>
      </c>
      <c r="H814" t="s">
        <v>55</v>
      </c>
      <c r="I814" t="s">
        <v>88</v>
      </c>
      <c r="J814" t="s">
        <v>65</v>
      </c>
      <c r="K814" t="s">
        <v>58</v>
      </c>
      <c r="L814">
        <v>1</v>
      </c>
      <c r="M814">
        <v>90</v>
      </c>
      <c r="N814" t="s">
        <v>59</v>
      </c>
      <c r="O814">
        <v>7</v>
      </c>
    </row>
    <row r="815" spans="1:15">
      <c r="A815" s="4">
        <v>45971</v>
      </c>
      <c r="B815" t="s">
        <v>101</v>
      </c>
      <c r="C815" t="s">
        <v>73</v>
      </c>
      <c r="D815">
        <v>4490</v>
      </c>
      <c r="E815" t="s">
        <v>74</v>
      </c>
      <c r="F815" t="s">
        <v>905</v>
      </c>
      <c r="G815" t="s">
        <v>46</v>
      </c>
      <c r="H815" t="s">
        <v>70</v>
      </c>
      <c r="I815" t="s">
        <v>56</v>
      </c>
      <c r="J815" t="s">
        <v>65</v>
      </c>
      <c r="K815" t="s">
        <v>66</v>
      </c>
      <c r="L815">
        <v>2</v>
      </c>
      <c r="M815">
        <v>90</v>
      </c>
      <c r="N815" t="s">
        <v>71</v>
      </c>
      <c r="O815">
        <v>11</v>
      </c>
    </row>
    <row r="816" spans="1:15">
      <c r="A816" s="4">
        <v>45766</v>
      </c>
      <c r="B816" t="s">
        <v>80</v>
      </c>
      <c r="C816" t="s">
        <v>68</v>
      </c>
      <c r="D816">
        <v>2040</v>
      </c>
      <c r="E816" t="s">
        <v>74</v>
      </c>
      <c r="F816" t="s">
        <v>906</v>
      </c>
      <c r="G816" t="s">
        <v>45</v>
      </c>
      <c r="H816" t="s">
        <v>70</v>
      </c>
      <c r="I816" t="s">
        <v>64</v>
      </c>
      <c r="J816" t="s">
        <v>57</v>
      </c>
      <c r="K816" t="s">
        <v>66</v>
      </c>
      <c r="L816">
        <v>3</v>
      </c>
      <c r="M816">
        <v>90</v>
      </c>
      <c r="N816" t="s">
        <v>93</v>
      </c>
      <c r="O816">
        <v>6</v>
      </c>
    </row>
    <row r="817" spans="1:15">
      <c r="A817" s="4">
        <v>45882</v>
      </c>
      <c r="B817" t="s">
        <v>94</v>
      </c>
      <c r="C817" t="s">
        <v>73</v>
      </c>
      <c r="D817">
        <v>460</v>
      </c>
      <c r="E817" t="s">
        <v>74</v>
      </c>
      <c r="F817" t="s">
        <v>907</v>
      </c>
      <c r="G817" t="s">
        <v>46</v>
      </c>
      <c r="H817" t="s">
        <v>55</v>
      </c>
      <c r="I817" t="s">
        <v>79</v>
      </c>
      <c r="J817" t="s">
        <v>65</v>
      </c>
      <c r="K817" t="s">
        <v>58</v>
      </c>
      <c r="L817">
        <v>3</v>
      </c>
      <c r="M817">
        <v>30</v>
      </c>
      <c r="N817" t="s">
        <v>59</v>
      </c>
      <c r="O817">
        <v>13</v>
      </c>
    </row>
    <row r="818" spans="1:15">
      <c r="A818" s="4">
        <v>45705</v>
      </c>
      <c r="B818" t="s">
        <v>85</v>
      </c>
      <c r="C818" t="s">
        <v>86</v>
      </c>
      <c r="D818">
        <v>1100</v>
      </c>
      <c r="E818" t="s">
        <v>74</v>
      </c>
      <c r="F818" t="s">
        <v>908</v>
      </c>
      <c r="G818" t="s">
        <v>46</v>
      </c>
      <c r="H818" t="s">
        <v>55</v>
      </c>
      <c r="I818" t="s">
        <v>56</v>
      </c>
      <c r="J818" t="s">
        <v>57</v>
      </c>
      <c r="K818" t="s">
        <v>66</v>
      </c>
      <c r="L818">
        <v>3</v>
      </c>
      <c r="M818">
        <v>60</v>
      </c>
      <c r="N818" t="s">
        <v>93</v>
      </c>
      <c r="O818">
        <v>7</v>
      </c>
    </row>
    <row r="819" spans="1:15">
      <c r="A819" s="4">
        <v>45846</v>
      </c>
      <c r="B819" t="s">
        <v>116</v>
      </c>
      <c r="C819" t="s">
        <v>114</v>
      </c>
      <c r="D819">
        <v>1060</v>
      </c>
      <c r="E819" t="s">
        <v>74</v>
      </c>
      <c r="F819" t="s">
        <v>909</v>
      </c>
      <c r="G819" t="s">
        <v>45</v>
      </c>
      <c r="H819" t="s">
        <v>70</v>
      </c>
      <c r="I819" t="s">
        <v>88</v>
      </c>
      <c r="J819" t="s">
        <v>65</v>
      </c>
      <c r="K819" t="s">
        <v>66</v>
      </c>
      <c r="L819">
        <v>1</v>
      </c>
      <c r="M819">
        <v>90</v>
      </c>
      <c r="N819" t="s">
        <v>71</v>
      </c>
      <c r="O819">
        <v>13</v>
      </c>
    </row>
    <row r="820" spans="1:15">
      <c r="A820" s="4">
        <v>45993</v>
      </c>
      <c r="B820" t="s">
        <v>60</v>
      </c>
      <c r="C820" t="s">
        <v>77</v>
      </c>
      <c r="D820">
        <v>3300</v>
      </c>
      <c r="E820" t="s">
        <v>74</v>
      </c>
      <c r="F820" t="s">
        <v>910</v>
      </c>
      <c r="G820" t="s">
        <v>45</v>
      </c>
      <c r="H820" t="s">
        <v>70</v>
      </c>
      <c r="I820" t="s">
        <v>56</v>
      </c>
      <c r="J820" t="s">
        <v>65</v>
      </c>
      <c r="K820" t="s">
        <v>58</v>
      </c>
      <c r="L820">
        <v>2</v>
      </c>
      <c r="M820">
        <v>60</v>
      </c>
      <c r="N820" t="s">
        <v>59</v>
      </c>
      <c r="O820">
        <v>6</v>
      </c>
    </row>
    <row r="821" spans="1:15">
      <c r="A821" s="4">
        <v>45997</v>
      </c>
      <c r="B821" t="s">
        <v>80</v>
      </c>
      <c r="C821" t="s">
        <v>73</v>
      </c>
      <c r="D821">
        <v>1200</v>
      </c>
      <c r="E821" t="s">
        <v>74</v>
      </c>
      <c r="F821" t="s">
        <v>911</v>
      </c>
      <c r="G821" t="s">
        <v>45</v>
      </c>
      <c r="H821" t="s">
        <v>70</v>
      </c>
      <c r="I821" t="s">
        <v>79</v>
      </c>
      <c r="J821" t="s">
        <v>57</v>
      </c>
      <c r="K821" t="s">
        <v>66</v>
      </c>
      <c r="L821">
        <v>5</v>
      </c>
      <c r="M821">
        <v>30</v>
      </c>
      <c r="N821" t="s">
        <v>59</v>
      </c>
      <c r="O821">
        <v>8</v>
      </c>
    </row>
    <row r="822" spans="1:15">
      <c r="A822" s="4">
        <v>45894</v>
      </c>
      <c r="B822" t="s">
        <v>97</v>
      </c>
      <c r="C822" t="s">
        <v>61</v>
      </c>
      <c r="D822">
        <v>2270</v>
      </c>
      <c r="E822" t="s">
        <v>74</v>
      </c>
      <c r="F822" t="s">
        <v>912</v>
      </c>
      <c r="G822" t="s">
        <v>46</v>
      </c>
      <c r="H822" t="s">
        <v>55</v>
      </c>
      <c r="I822" t="s">
        <v>84</v>
      </c>
      <c r="J822" t="s">
        <v>57</v>
      </c>
      <c r="K822" t="s">
        <v>66</v>
      </c>
      <c r="L822">
        <v>3</v>
      </c>
      <c r="M822">
        <v>90</v>
      </c>
      <c r="N822" t="s">
        <v>71</v>
      </c>
      <c r="O822">
        <v>19</v>
      </c>
    </row>
    <row r="823" spans="1:15">
      <c r="A823" s="4">
        <v>45679</v>
      </c>
      <c r="B823" t="s">
        <v>109</v>
      </c>
      <c r="C823" t="s">
        <v>52</v>
      </c>
      <c r="D823">
        <v>1110</v>
      </c>
      <c r="E823" t="s">
        <v>62</v>
      </c>
      <c r="F823" t="s">
        <v>913</v>
      </c>
      <c r="G823" t="s">
        <v>45</v>
      </c>
      <c r="H823" t="s">
        <v>55</v>
      </c>
      <c r="I823" t="s">
        <v>64</v>
      </c>
      <c r="J823" t="s">
        <v>65</v>
      </c>
      <c r="K823" t="s">
        <v>76</v>
      </c>
      <c r="L823">
        <v>4</v>
      </c>
      <c r="M823">
        <v>60</v>
      </c>
      <c r="N823" t="s">
        <v>59</v>
      </c>
      <c r="O823">
        <v>15</v>
      </c>
    </row>
    <row r="824" spans="1:15">
      <c r="A824" s="4">
        <v>45994</v>
      </c>
      <c r="B824" t="s">
        <v>60</v>
      </c>
      <c r="C824" t="s">
        <v>52</v>
      </c>
      <c r="D824">
        <v>2120</v>
      </c>
      <c r="E824" t="s">
        <v>62</v>
      </c>
      <c r="F824" t="s">
        <v>914</v>
      </c>
      <c r="G824" t="s">
        <v>46</v>
      </c>
      <c r="H824" t="s">
        <v>70</v>
      </c>
      <c r="I824" t="s">
        <v>92</v>
      </c>
      <c r="J824" t="s">
        <v>57</v>
      </c>
      <c r="K824" t="s">
        <v>76</v>
      </c>
      <c r="L824">
        <v>3</v>
      </c>
      <c r="M824">
        <v>90</v>
      </c>
      <c r="N824" t="s">
        <v>59</v>
      </c>
      <c r="O824">
        <v>3</v>
      </c>
    </row>
    <row r="825" spans="1:15">
      <c r="A825" s="4">
        <v>45850</v>
      </c>
      <c r="B825" t="s">
        <v>101</v>
      </c>
      <c r="C825" t="s">
        <v>98</v>
      </c>
      <c r="D825">
        <v>2360</v>
      </c>
      <c r="E825" t="s">
        <v>74</v>
      </c>
      <c r="F825" t="s">
        <v>915</v>
      </c>
      <c r="G825" t="s">
        <v>45</v>
      </c>
      <c r="H825" t="s">
        <v>70</v>
      </c>
      <c r="I825" t="s">
        <v>84</v>
      </c>
      <c r="J825" t="s">
        <v>57</v>
      </c>
      <c r="K825" t="s">
        <v>66</v>
      </c>
      <c r="L825">
        <v>3</v>
      </c>
      <c r="M825">
        <v>60</v>
      </c>
      <c r="N825" t="s">
        <v>93</v>
      </c>
      <c r="O825">
        <v>17</v>
      </c>
    </row>
    <row r="826" spans="1:15">
      <c r="A826" s="4">
        <v>45937</v>
      </c>
      <c r="B826" t="s">
        <v>80</v>
      </c>
      <c r="C826" t="s">
        <v>73</v>
      </c>
      <c r="D826">
        <v>2740</v>
      </c>
      <c r="E826" t="s">
        <v>62</v>
      </c>
      <c r="F826" t="s">
        <v>916</v>
      </c>
      <c r="G826" t="s">
        <v>46</v>
      </c>
      <c r="H826" t="s">
        <v>70</v>
      </c>
      <c r="I826" t="s">
        <v>79</v>
      </c>
      <c r="J826" t="s">
        <v>57</v>
      </c>
      <c r="K826" t="s">
        <v>58</v>
      </c>
      <c r="L826">
        <v>3</v>
      </c>
      <c r="M826">
        <v>30</v>
      </c>
      <c r="N826" t="s">
        <v>59</v>
      </c>
      <c r="O826">
        <v>10</v>
      </c>
    </row>
    <row r="827" spans="1:15">
      <c r="A827" s="4">
        <v>45893</v>
      </c>
      <c r="B827" t="s">
        <v>51</v>
      </c>
      <c r="C827" t="s">
        <v>81</v>
      </c>
      <c r="D827">
        <v>1600</v>
      </c>
      <c r="E827" t="s">
        <v>62</v>
      </c>
      <c r="F827" t="s">
        <v>917</v>
      </c>
      <c r="G827" t="s">
        <v>46</v>
      </c>
      <c r="H827" t="s">
        <v>70</v>
      </c>
      <c r="I827" t="s">
        <v>92</v>
      </c>
      <c r="J827" t="s">
        <v>57</v>
      </c>
      <c r="K827" t="s">
        <v>76</v>
      </c>
      <c r="L827">
        <v>1</v>
      </c>
      <c r="M827">
        <v>45</v>
      </c>
      <c r="N827" t="s">
        <v>59</v>
      </c>
      <c r="O827">
        <v>13</v>
      </c>
    </row>
    <row r="828" spans="1:15">
      <c r="A828" s="4">
        <v>46009</v>
      </c>
      <c r="B828" t="s">
        <v>116</v>
      </c>
      <c r="C828" t="s">
        <v>86</v>
      </c>
      <c r="D828">
        <v>1960</v>
      </c>
      <c r="E828" t="s">
        <v>53</v>
      </c>
      <c r="F828" t="s">
        <v>918</v>
      </c>
      <c r="G828" t="s">
        <v>45</v>
      </c>
      <c r="H828" t="s">
        <v>70</v>
      </c>
      <c r="I828" t="s">
        <v>88</v>
      </c>
      <c r="J828" t="s">
        <v>57</v>
      </c>
      <c r="K828" t="s">
        <v>58</v>
      </c>
      <c r="L828">
        <v>3</v>
      </c>
      <c r="M828">
        <v>45</v>
      </c>
      <c r="N828" t="s">
        <v>59</v>
      </c>
      <c r="O828">
        <v>17</v>
      </c>
    </row>
    <row r="829" spans="1:15">
      <c r="A829" s="4">
        <v>45790</v>
      </c>
      <c r="B829" t="s">
        <v>97</v>
      </c>
      <c r="C829" t="s">
        <v>77</v>
      </c>
      <c r="D829">
        <v>2570</v>
      </c>
      <c r="E829" t="s">
        <v>62</v>
      </c>
      <c r="F829" t="s">
        <v>919</v>
      </c>
      <c r="G829" t="s">
        <v>45</v>
      </c>
      <c r="H829" t="s">
        <v>55</v>
      </c>
      <c r="I829" t="s">
        <v>88</v>
      </c>
      <c r="J829" t="s">
        <v>65</v>
      </c>
      <c r="K829" t="s">
        <v>76</v>
      </c>
      <c r="L829">
        <v>3</v>
      </c>
      <c r="M829">
        <v>90</v>
      </c>
      <c r="N829" t="s">
        <v>59</v>
      </c>
      <c r="O829">
        <v>20</v>
      </c>
    </row>
    <row r="830" spans="1:15">
      <c r="A830" s="4">
        <v>45787</v>
      </c>
      <c r="B830" t="s">
        <v>97</v>
      </c>
      <c r="C830" t="s">
        <v>114</v>
      </c>
      <c r="D830">
        <v>1930</v>
      </c>
      <c r="E830" t="s">
        <v>74</v>
      </c>
      <c r="F830" t="s">
        <v>920</v>
      </c>
      <c r="G830" t="s">
        <v>46</v>
      </c>
      <c r="H830" t="s">
        <v>55</v>
      </c>
      <c r="I830" t="s">
        <v>84</v>
      </c>
      <c r="J830" t="s">
        <v>65</v>
      </c>
      <c r="K830" t="s">
        <v>66</v>
      </c>
      <c r="L830">
        <v>4</v>
      </c>
      <c r="M830">
        <v>45</v>
      </c>
      <c r="N830" t="s">
        <v>93</v>
      </c>
      <c r="O830">
        <v>14</v>
      </c>
    </row>
    <row r="831" spans="1:15">
      <c r="A831" s="4">
        <v>45976</v>
      </c>
      <c r="B831" t="s">
        <v>67</v>
      </c>
      <c r="C831" t="s">
        <v>77</v>
      </c>
      <c r="D831">
        <v>2930</v>
      </c>
      <c r="E831" t="s">
        <v>53</v>
      </c>
      <c r="F831" t="s">
        <v>921</v>
      </c>
      <c r="G831" t="s">
        <v>46</v>
      </c>
      <c r="H831" t="s">
        <v>55</v>
      </c>
      <c r="I831" t="s">
        <v>79</v>
      </c>
      <c r="J831" t="s">
        <v>65</v>
      </c>
      <c r="K831" t="s">
        <v>76</v>
      </c>
      <c r="L831">
        <v>4</v>
      </c>
      <c r="M831">
        <v>90</v>
      </c>
      <c r="N831" t="s">
        <v>93</v>
      </c>
      <c r="O831">
        <v>16</v>
      </c>
    </row>
    <row r="832" spans="1:15">
      <c r="A832" s="4">
        <v>45759</v>
      </c>
      <c r="B832" t="s">
        <v>60</v>
      </c>
      <c r="C832" t="s">
        <v>81</v>
      </c>
      <c r="D832">
        <v>1850</v>
      </c>
      <c r="E832" t="s">
        <v>53</v>
      </c>
      <c r="F832" t="s">
        <v>922</v>
      </c>
      <c r="G832" t="s">
        <v>45</v>
      </c>
      <c r="H832" t="s">
        <v>55</v>
      </c>
      <c r="I832" t="s">
        <v>56</v>
      </c>
      <c r="J832" t="s">
        <v>57</v>
      </c>
      <c r="K832" t="s">
        <v>76</v>
      </c>
      <c r="L832">
        <v>1</v>
      </c>
      <c r="M832">
        <v>60</v>
      </c>
      <c r="N832" t="s">
        <v>59</v>
      </c>
      <c r="O832">
        <v>14</v>
      </c>
    </row>
    <row r="833" spans="1:15">
      <c r="A833" s="4">
        <v>45725</v>
      </c>
      <c r="B833" t="s">
        <v>67</v>
      </c>
      <c r="C833" t="s">
        <v>95</v>
      </c>
      <c r="D833">
        <v>810</v>
      </c>
      <c r="E833" t="s">
        <v>74</v>
      </c>
      <c r="F833" t="s">
        <v>923</v>
      </c>
      <c r="G833" t="s">
        <v>46</v>
      </c>
      <c r="H833" t="s">
        <v>70</v>
      </c>
      <c r="I833" t="s">
        <v>64</v>
      </c>
      <c r="J833" t="s">
        <v>57</v>
      </c>
      <c r="K833" t="s">
        <v>66</v>
      </c>
      <c r="L833">
        <v>4</v>
      </c>
      <c r="M833">
        <v>45</v>
      </c>
      <c r="N833" t="s">
        <v>71</v>
      </c>
      <c r="O833">
        <v>13</v>
      </c>
    </row>
    <row r="834" spans="1:15">
      <c r="A834" s="4">
        <v>45737</v>
      </c>
      <c r="B834" t="s">
        <v>109</v>
      </c>
      <c r="C834" t="s">
        <v>114</v>
      </c>
      <c r="D834">
        <v>4960</v>
      </c>
      <c r="E834" t="s">
        <v>74</v>
      </c>
      <c r="F834" t="s">
        <v>924</v>
      </c>
      <c r="G834" t="s">
        <v>45</v>
      </c>
      <c r="H834" t="s">
        <v>70</v>
      </c>
      <c r="I834" t="s">
        <v>84</v>
      </c>
      <c r="J834" t="s">
        <v>57</v>
      </c>
      <c r="K834" t="s">
        <v>58</v>
      </c>
      <c r="L834">
        <v>2</v>
      </c>
      <c r="M834">
        <v>90</v>
      </c>
      <c r="N834" t="s">
        <v>59</v>
      </c>
      <c r="O834">
        <v>20</v>
      </c>
    </row>
    <row r="835" spans="1:15">
      <c r="A835" s="4">
        <v>45937</v>
      </c>
      <c r="B835" t="s">
        <v>94</v>
      </c>
      <c r="C835" t="s">
        <v>86</v>
      </c>
      <c r="D835">
        <v>3250</v>
      </c>
      <c r="E835" t="s">
        <v>74</v>
      </c>
      <c r="F835" t="s">
        <v>925</v>
      </c>
      <c r="G835" t="s">
        <v>45</v>
      </c>
      <c r="H835" t="s">
        <v>70</v>
      </c>
      <c r="I835" t="s">
        <v>79</v>
      </c>
      <c r="J835" t="s">
        <v>57</v>
      </c>
      <c r="K835" t="s">
        <v>58</v>
      </c>
      <c r="L835">
        <v>4</v>
      </c>
      <c r="M835">
        <v>45</v>
      </c>
      <c r="N835" t="s">
        <v>93</v>
      </c>
      <c r="O835">
        <v>7</v>
      </c>
    </row>
    <row r="836" spans="1:15">
      <c r="A836" s="4">
        <v>45789</v>
      </c>
      <c r="B836" t="s">
        <v>51</v>
      </c>
      <c r="C836" t="s">
        <v>68</v>
      </c>
      <c r="D836">
        <v>1600</v>
      </c>
      <c r="E836" t="s">
        <v>53</v>
      </c>
      <c r="F836" t="s">
        <v>926</v>
      </c>
      <c r="G836" t="s">
        <v>46</v>
      </c>
      <c r="H836" t="s">
        <v>55</v>
      </c>
      <c r="I836" t="s">
        <v>79</v>
      </c>
      <c r="J836" t="s">
        <v>57</v>
      </c>
      <c r="K836" t="s">
        <v>66</v>
      </c>
      <c r="L836">
        <v>1</v>
      </c>
      <c r="M836">
        <v>90</v>
      </c>
      <c r="N836" t="s">
        <v>59</v>
      </c>
      <c r="O836">
        <v>4</v>
      </c>
    </row>
    <row r="837" spans="1:15">
      <c r="A837" s="4">
        <v>45691</v>
      </c>
      <c r="B837" t="s">
        <v>116</v>
      </c>
      <c r="C837" t="s">
        <v>86</v>
      </c>
      <c r="D837">
        <v>1240</v>
      </c>
      <c r="E837" t="s">
        <v>53</v>
      </c>
      <c r="F837" t="s">
        <v>927</v>
      </c>
      <c r="G837" t="s">
        <v>46</v>
      </c>
      <c r="H837" t="s">
        <v>70</v>
      </c>
      <c r="I837" t="s">
        <v>88</v>
      </c>
      <c r="J837" t="s">
        <v>57</v>
      </c>
      <c r="K837" t="s">
        <v>76</v>
      </c>
      <c r="L837">
        <v>5</v>
      </c>
      <c r="M837">
        <v>45</v>
      </c>
      <c r="N837" t="s">
        <v>59</v>
      </c>
      <c r="O837">
        <v>4</v>
      </c>
    </row>
    <row r="838" spans="1:15">
      <c r="A838" s="4">
        <v>45965</v>
      </c>
      <c r="B838" t="s">
        <v>97</v>
      </c>
      <c r="C838" t="s">
        <v>68</v>
      </c>
      <c r="D838">
        <v>610</v>
      </c>
      <c r="E838" t="s">
        <v>53</v>
      </c>
      <c r="F838" t="s">
        <v>928</v>
      </c>
      <c r="G838" t="s">
        <v>45</v>
      </c>
      <c r="H838" t="s">
        <v>55</v>
      </c>
      <c r="I838" t="s">
        <v>79</v>
      </c>
      <c r="J838" t="s">
        <v>57</v>
      </c>
      <c r="K838" t="s">
        <v>58</v>
      </c>
      <c r="L838">
        <v>1</v>
      </c>
      <c r="M838">
        <v>60</v>
      </c>
      <c r="N838" t="s">
        <v>71</v>
      </c>
      <c r="O838">
        <v>10</v>
      </c>
    </row>
    <row r="839" spans="1:15">
      <c r="A839" s="4">
        <v>45785</v>
      </c>
      <c r="B839" t="s">
        <v>90</v>
      </c>
      <c r="C839" t="s">
        <v>95</v>
      </c>
      <c r="D839">
        <v>4560</v>
      </c>
      <c r="E839" t="s">
        <v>62</v>
      </c>
      <c r="F839" t="s">
        <v>929</v>
      </c>
      <c r="G839" t="s">
        <v>45</v>
      </c>
      <c r="H839" t="s">
        <v>55</v>
      </c>
      <c r="I839" t="s">
        <v>84</v>
      </c>
      <c r="J839" t="s">
        <v>65</v>
      </c>
      <c r="K839" t="s">
        <v>66</v>
      </c>
      <c r="L839">
        <v>2</v>
      </c>
      <c r="M839">
        <v>45</v>
      </c>
      <c r="N839" t="s">
        <v>93</v>
      </c>
      <c r="O839">
        <v>19</v>
      </c>
    </row>
    <row r="840" spans="1:15">
      <c r="A840" s="4">
        <v>45986</v>
      </c>
      <c r="B840" t="s">
        <v>90</v>
      </c>
      <c r="C840" t="s">
        <v>95</v>
      </c>
      <c r="D840">
        <v>2060</v>
      </c>
      <c r="E840" t="s">
        <v>74</v>
      </c>
      <c r="F840" t="s">
        <v>930</v>
      </c>
      <c r="G840" t="s">
        <v>45</v>
      </c>
      <c r="H840" t="s">
        <v>70</v>
      </c>
      <c r="I840" t="s">
        <v>84</v>
      </c>
      <c r="J840" t="s">
        <v>57</v>
      </c>
      <c r="K840" t="s">
        <v>76</v>
      </c>
      <c r="L840">
        <v>4</v>
      </c>
      <c r="M840">
        <v>60</v>
      </c>
      <c r="N840" t="s">
        <v>59</v>
      </c>
      <c r="O840">
        <v>15</v>
      </c>
    </row>
    <row r="841" spans="1:15">
      <c r="A841" s="4">
        <v>46019</v>
      </c>
      <c r="B841" t="s">
        <v>109</v>
      </c>
      <c r="C841" t="s">
        <v>68</v>
      </c>
      <c r="D841">
        <v>4360</v>
      </c>
      <c r="E841" t="s">
        <v>62</v>
      </c>
      <c r="F841" t="s">
        <v>931</v>
      </c>
      <c r="G841" t="s">
        <v>45</v>
      </c>
      <c r="H841" t="s">
        <v>55</v>
      </c>
      <c r="I841" t="s">
        <v>56</v>
      </c>
      <c r="J841" t="s">
        <v>57</v>
      </c>
      <c r="K841" t="s">
        <v>66</v>
      </c>
      <c r="L841">
        <v>2</v>
      </c>
      <c r="M841">
        <v>60</v>
      </c>
      <c r="N841" t="s">
        <v>93</v>
      </c>
      <c r="O841">
        <v>20</v>
      </c>
    </row>
    <row r="842" spans="1:15">
      <c r="A842" s="4">
        <v>45811</v>
      </c>
      <c r="B842" t="s">
        <v>90</v>
      </c>
      <c r="C842" t="s">
        <v>73</v>
      </c>
      <c r="D842">
        <v>750</v>
      </c>
      <c r="E842" t="s">
        <v>53</v>
      </c>
      <c r="F842" t="s">
        <v>932</v>
      </c>
      <c r="G842" t="s">
        <v>45</v>
      </c>
      <c r="H842" t="s">
        <v>70</v>
      </c>
      <c r="I842" t="s">
        <v>79</v>
      </c>
      <c r="J842" t="s">
        <v>57</v>
      </c>
      <c r="K842" t="s">
        <v>66</v>
      </c>
      <c r="L842">
        <v>2</v>
      </c>
      <c r="M842">
        <v>90</v>
      </c>
      <c r="N842" t="s">
        <v>59</v>
      </c>
      <c r="O842">
        <v>3</v>
      </c>
    </row>
    <row r="843" spans="1:15">
      <c r="A843" s="4">
        <v>45740</v>
      </c>
      <c r="B843" t="s">
        <v>97</v>
      </c>
      <c r="C843" t="s">
        <v>86</v>
      </c>
      <c r="D843">
        <v>2060</v>
      </c>
      <c r="E843" t="s">
        <v>62</v>
      </c>
      <c r="F843" t="s">
        <v>933</v>
      </c>
      <c r="G843" t="s">
        <v>46</v>
      </c>
      <c r="H843" t="s">
        <v>55</v>
      </c>
      <c r="I843" t="s">
        <v>92</v>
      </c>
      <c r="J843" t="s">
        <v>65</v>
      </c>
      <c r="K843" t="s">
        <v>66</v>
      </c>
      <c r="L843">
        <v>2</v>
      </c>
      <c r="M843">
        <v>90</v>
      </c>
      <c r="N843" t="s">
        <v>59</v>
      </c>
      <c r="O843">
        <v>9</v>
      </c>
    </row>
    <row r="844" spans="1:15">
      <c r="A844" s="4">
        <v>45872</v>
      </c>
      <c r="B844" t="s">
        <v>101</v>
      </c>
      <c r="C844" t="s">
        <v>52</v>
      </c>
      <c r="D844">
        <v>4500</v>
      </c>
      <c r="E844" t="s">
        <v>53</v>
      </c>
      <c r="F844" t="s">
        <v>934</v>
      </c>
      <c r="G844" t="s">
        <v>46</v>
      </c>
      <c r="H844" t="s">
        <v>70</v>
      </c>
      <c r="I844" t="s">
        <v>56</v>
      </c>
      <c r="J844" t="s">
        <v>65</v>
      </c>
      <c r="K844" t="s">
        <v>76</v>
      </c>
      <c r="L844">
        <v>3</v>
      </c>
      <c r="M844">
        <v>30</v>
      </c>
      <c r="N844" t="s">
        <v>59</v>
      </c>
      <c r="O844">
        <v>5</v>
      </c>
    </row>
    <row r="845" spans="1:15">
      <c r="A845" s="4">
        <v>45990</v>
      </c>
      <c r="B845" t="s">
        <v>60</v>
      </c>
      <c r="C845" t="s">
        <v>77</v>
      </c>
      <c r="D845">
        <v>4240</v>
      </c>
      <c r="E845" t="s">
        <v>74</v>
      </c>
      <c r="F845" t="s">
        <v>935</v>
      </c>
      <c r="G845" t="s">
        <v>46</v>
      </c>
      <c r="H845" t="s">
        <v>55</v>
      </c>
      <c r="I845" t="s">
        <v>84</v>
      </c>
      <c r="J845" t="s">
        <v>65</v>
      </c>
      <c r="K845" t="s">
        <v>66</v>
      </c>
      <c r="L845">
        <v>1</v>
      </c>
      <c r="M845">
        <v>90</v>
      </c>
      <c r="N845" t="s">
        <v>71</v>
      </c>
      <c r="O845">
        <v>7</v>
      </c>
    </row>
    <row r="846" spans="1:15">
      <c r="A846" s="4">
        <v>45862</v>
      </c>
      <c r="B846" t="s">
        <v>72</v>
      </c>
      <c r="C846" t="s">
        <v>77</v>
      </c>
      <c r="D846">
        <v>4250</v>
      </c>
      <c r="E846" t="s">
        <v>62</v>
      </c>
      <c r="F846" t="s">
        <v>936</v>
      </c>
      <c r="G846" t="s">
        <v>46</v>
      </c>
      <c r="H846" t="s">
        <v>55</v>
      </c>
      <c r="I846" t="s">
        <v>88</v>
      </c>
      <c r="J846" t="s">
        <v>57</v>
      </c>
      <c r="K846" t="s">
        <v>58</v>
      </c>
      <c r="L846">
        <v>3</v>
      </c>
      <c r="M846">
        <v>60</v>
      </c>
      <c r="N846" t="s">
        <v>93</v>
      </c>
      <c r="O846">
        <v>18</v>
      </c>
    </row>
    <row r="847" spans="1:15">
      <c r="A847" s="4">
        <v>45966</v>
      </c>
      <c r="B847" t="s">
        <v>94</v>
      </c>
      <c r="C847" t="s">
        <v>98</v>
      </c>
      <c r="D847">
        <v>760</v>
      </c>
      <c r="E847" t="s">
        <v>62</v>
      </c>
      <c r="F847" t="s">
        <v>937</v>
      </c>
      <c r="G847" t="s">
        <v>45</v>
      </c>
      <c r="H847" t="s">
        <v>70</v>
      </c>
      <c r="I847" t="s">
        <v>88</v>
      </c>
      <c r="J847" t="s">
        <v>57</v>
      </c>
      <c r="K847" t="s">
        <v>76</v>
      </c>
      <c r="L847">
        <v>4</v>
      </c>
      <c r="M847">
        <v>60</v>
      </c>
      <c r="N847" t="s">
        <v>59</v>
      </c>
      <c r="O847">
        <v>11</v>
      </c>
    </row>
    <row r="848" spans="1:15">
      <c r="A848" s="4">
        <v>45678</v>
      </c>
      <c r="B848" t="s">
        <v>101</v>
      </c>
      <c r="C848" t="s">
        <v>77</v>
      </c>
      <c r="D848">
        <v>220</v>
      </c>
      <c r="E848" t="s">
        <v>53</v>
      </c>
      <c r="F848" t="s">
        <v>938</v>
      </c>
      <c r="G848" t="s">
        <v>46</v>
      </c>
      <c r="H848" t="s">
        <v>55</v>
      </c>
      <c r="I848" t="s">
        <v>64</v>
      </c>
      <c r="J848" t="s">
        <v>65</v>
      </c>
      <c r="K848" t="s">
        <v>76</v>
      </c>
      <c r="L848">
        <v>2</v>
      </c>
      <c r="M848">
        <v>30</v>
      </c>
      <c r="N848" t="s">
        <v>59</v>
      </c>
      <c r="O848">
        <v>12</v>
      </c>
    </row>
    <row r="849" spans="1:15">
      <c r="A849" s="4">
        <v>45878</v>
      </c>
      <c r="B849" t="s">
        <v>60</v>
      </c>
      <c r="C849" t="s">
        <v>95</v>
      </c>
      <c r="D849">
        <v>3240</v>
      </c>
      <c r="E849" t="s">
        <v>74</v>
      </c>
      <c r="F849" t="s">
        <v>939</v>
      </c>
      <c r="G849" t="s">
        <v>45</v>
      </c>
      <c r="H849" t="s">
        <v>55</v>
      </c>
      <c r="I849" t="s">
        <v>88</v>
      </c>
      <c r="J849" t="s">
        <v>57</v>
      </c>
      <c r="K849" t="s">
        <v>76</v>
      </c>
      <c r="L849">
        <v>4</v>
      </c>
      <c r="M849">
        <v>90</v>
      </c>
      <c r="N849" t="s">
        <v>71</v>
      </c>
      <c r="O849">
        <v>7</v>
      </c>
    </row>
    <row r="850" spans="1:15">
      <c r="A850" s="4">
        <v>45814</v>
      </c>
      <c r="B850" t="s">
        <v>101</v>
      </c>
      <c r="C850" t="s">
        <v>86</v>
      </c>
      <c r="D850">
        <v>3110</v>
      </c>
      <c r="E850" t="s">
        <v>53</v>
      </c>
      <c r="F850" t="s">
        <v>940</v>
      </c>
      <c r="G850" t="s">
        <v>46</v>
      </c>
      <c r="H850" t="s">
        <v>55</v>
      </c>
      <c r="I850" t="s">
        <v>64</v>
      </c>
      <c r="J850" t="s">
        <v>65</v>
      </c>
      <c r="K850" t="s">
        <v>66</v>
      </c>
      <c r="L850">
        <v>3</v>
      </c>
      <c r="M850">
        <v>90</v>
      </c>
      <c r="N850" t="s">
        <v>71</v>
      </c>
      <c r="O850">
        <v>7</v>
      </c>
    </row>
    <row r="851" spans="1:15">
      <c r="A851" s="4">
        <v>46011</v>
      </c>
      <c r="B851" t="s">
        <v>94</v>
      </c>
      <c r="C851" t="s">
        <v>77</v>
      </c>
      <c r="D851">
        <v>2130</v>
      </c>
      <c r="E851" t="s">
        <v>62</v>
      </c>
      <c r="F851" t="s">
        <v>941</v>
      </c>
      <c r="G851" t="s">
        <v>45</v>
      </c>
      <c r="H851" t="s">
        <v>55</v>
      </c>
      <c r="I851" t="s">
        <v>64</v>
      </c>
      <c r="J851" t="s">
        <v>57</v>
      </c>
      <c r="K851" t="s">
        <v>58</v>
      </c>
      <c r="L851">
        <v>4</v>
      </c>
      <c r="M851">
        <v>90</v>
      </c>
      <c r="N851" t="s">
        <v>93</v>
      </c>
      <c r="O851">
        <v>20</v>
      </c>
    </row>
    <row r="852" spans="1:15">
      <c r="A852" s="4">
        <v>45902</v>
      </c>
      <c r="B852" t="s">
        <v>85</v>
      </c>
      <c r="C852" t="s">
        <v>68</v>
      </c>
      <c r="D852">
        <v>4650</v>
      </c>
      <c r="E852" t="s">
        <v>74</v>
      </c>
      <c r="F852" t="s">
        <v>942</v>
      </c>
      <c r="G852" t="s">
        <v>45</v>
      </c>
      <c r="H852" t="s">
        <v>55</v>
      </c>
      <c r="I852" t="s">
        <v>79</v>
      </c>
      <c r="J852" t="s">
        <v>57</v>
      </c>
      <c r="K852" t="s">
        <v>76</v>
      </c>
      <c r="L852">
        <v>4</v>
      </c>
      <c r="M852">
        <v>90</v>
      </c>
      <c r="N852" t="s">
        <v>93</v>
      </c>
      <c r="O852">
        <v>12</v>
      </c>
    </row>
    <row r="853" spans="1:15">
      <c r="A853" s="4">
        <v>45772</v>
      </c>
      <c r="B853" t="s">
        <v>109</v>
      </c>
      <c r="C853" t="s">
        <v>73</v>
      </c>
      <c r="D853">
        <v>2210</v>
      </c>
      <c r="E853" t="s">
        <v>62</v>
      </c>
      <c r="F853" t="s">
        <v>943</v>
      </c>
      <c r="G853" t="s">
        <v>46</v>
      </c>
      <c r="H853" t="s">
        <v>55</v>
      </c>
      <c r="I853" t="s">
        <v>56</v>
      </c>
      <c r="J853" t="s">
        <v>65</v>
      </c>
      <c r="K853" t="s">
        <v>58</v>
      </c>
      <c r="L853">
        <v>3</v>
      </c>
      <c r="M853">
        <v>90</v>
      </c>
      <c r="N853" t="s">
        <v>93</v>
      </c>
      <c r="O853">
        <v>20</v>
      </c>
    </row>
    <row r="854" spans="1:15">
      <c r="A854" s="4">
        <v>45910</v>
      </c>
      <c r="B854" t="s">
        <v>51</v>
      </c>
      <c r="C854" t="s">
        <v>77</v>
      </c>
      <c r="D854">
        <v>4540</v>
      </c>
      <c r="E854" t="s">
        <v>62</v>
      </c>
      <c r="F854" t="s">
        <v>944</v>
      </c>
      <c r="G854" t="s">
        <v>45</v>
      </c>
      <c r="H854" t="s">
        <v>55</v>
      </c>
      <c r="I854" t="s">
        <v>64</v>
      </c>
      <c r="J854" t="s">
        <v>65</v>
      </c>
      <c r="K854" t="s">
        <v>66</v>
      </c>
      <c r="L854">
        <v>3</v>
      </c>
      <c r="M854">
        <v>60</v>
      </c>
      <c r="N854" t="s">
        <v>71</v>
      </c>
      <c r="O854">
        <v>18</v>
      </c>
    </row>
    <row r="855" spans="1:15">
      <c r="A855" s="4">
        <v>45837</v>
      </c>
      <c r="B855" t="s">
        <v>101</v>
      </c>
      <c r="C855" t="s">
        <v>95</v>
      </c>
      <c r="D855">
        <v>4160</v>
      </c>
      <c r="E855" t="s">
        <v>62</v>
      </c>
      <c r="F855" t="s">
        <v>945</v>
      </c>
      <c r="G855" t="s">
        <v>45</v>
      </c>
      <c r="H855" t="s">
        <v>55</v>
      </c>
      <c r="I855" t="s">
        <v>92</v>
      </c>
      <c r="J855" t="s">
        <v>57</v>
      </c>
      <c r="K855" t="s">
        <v>66</v>
      </c>
      <c r="L855">
        <v>2</v>
      </c>
      <c r="M855">
        <v>60</v>
      </c>
      <c r="N855" t="s">
        <v>59</v>
      </c>
      <c r="O855">
        <v>15</v>
      </c>
    </row>
    <row r="856" spans="1:15">
      <c r="A856" s="4">
        <v>45798</v>
      </c>
      <c r="B856" t="s">
        <v>51</v>
      </c>
      <c r="C856" t="s">
        <v>98</v>
      </c>
      <c r="D856">
        <v>4160</v>
      </c>
      <c r="E856" t="s">
        <v>74</v>
      </c>
      <c r="F856" t="s">
        <v>946</v>
      </c>
      <c r="G856" t="s">
        <v>45</v>
      </c>
      <c r="H856" t="s">
        <v>55</v>
      </c>
      <c r="I856" t="s">
        <v>84</v>
      </c>
      <c r="J856" t="s">
        <v>57</v>
      </c>
      <c r="K856" t="s">
        <v>66</v>
      </c>
      <c r="L856">
        <v>4</v>
      </c>
      <c r="M856">
        <v>60</v>
      </c>
      <c r="N856" t="s">
        <v>93</v>
      </c>
      <c r="O856">
        <v>15</v>
      </c>
    </row>
    <row r="857" spans="1:15">
      <c r="A857" s="4">
        <v>45917</v>
      </c>
      <c r="B857" t="s">
        <v>94</v>
      </c>
      <c r="C857" t="s">
        <v>81</v>
      </c>
      <c r="D857">
        <v>1150</v>
      </c>
      <c r="E857" t="s">
        <v>74</v>
      </c>
      <c r="F857" t="s">
        <v>947</v>
      </c>
      <c r="G857" t="s">
        <v>45</v>
      </c>
      <c r="H857" t="s">
        <v>55</v>
      </c>
      <c r="I857" t="s">
        <v>88</v>
      </c>
      <c r="J857" t="s">
        <v>65</v>
      </c>
      <c r="K857" t="s">
        <v>76</v>
      </c>
      <c r="L857">
        <v>3</v>
      </c>
      <c r="M857">
        <v>30</v>
      </c>
      <c r="N857" t="s">
        <v>59</v>
      </c>
      <c r="O857">
        <v>15</v>
      </c>
    </row>
    <row r="858" spans="1:15">
      <c r="A858" s="4">
        <v>45875</v>
      </c>
      <c r="B858" t="s">
        <v>97</v>
      </c>
      <c r="C858" t="s">
        <v>73</v>
      </c>
      <c r="D858">
        <v>3270</v>
      </c>
      <c r="E858" t="s">
        <v>62</v>
      </c>
      <c r="F858" t="s">
        <v>948</v>
      </c>
      <c r="G858" t="s">
        <v>45</v>
      </c>
      <c r="H858" t="s">
        <v>70</v>
      </c>
      <c r="I858" t="s">
        <v>56</v>
      </c>
      <c r="J858" t="s">
        <v>65</v>
      </c>
      <c r="K858" t="s">
        <v>58</v>
      </c>
      <c r="L858">
        <v>1</v>
      </c>
      <c r="M858">
        <v>45</v>
      </c>
      <c r="N858" t="s">
        <v>93</v>
      </c>
      <c r="O858">
        <v>9</v>
      </c>
    </row>
    <row r="859" spans="1:15">
      <c r="A859" s="4">
        <v>45824</v>
      </c>
      <c r="B859" t="s">
        <v>85</v>
      </c>
      <c r="C859" t="s">
        <v>52</v>
      </c>
      <c r="D859">
        <v>4920</v>
      </c>
      <c r="E859" t="s">
        <v>62</v>
      </c>
      <c r="F859" t="s">
        <v>949</v>
      </c>
      <c r="G859" t="s">
        <v>46</v>
      </c>
      <c r="H859" t="s">
        <v>70</v>
      </c>
      <c r="I859" t="s">
        <v>79</v>
      </c>
      <c r="J859" t="s">
        <v>57</v>
      </c>
      <c r="K859" t="s">
        <v>76</v>
      </c>
      <c r="L859">
        <v>3</v>
      </c>
      <c r="M859">
        <v>90</v>
      </c>
      <c r="N859" t="s">
        <v>59</v>
      </c>
      <c r="O859">
        <v>13</v>
      </c>
    </row>
    <row r="860" spans="1:15">
      <c r="A860" s="4">
        <v>46000</v>
      </c>
      <c r="B860" t="s">
        <v>67</v>
      </c>
      <c r="C860" t="s">
        <v>77</v>
      </c>
      <c r="D860">
        <v>3250</v>
      </c>
      <c r="E860" t="s">
        <v>53</v>
      </c>
      <c r="F860" t="s">
        <v>950</v>
      </c>
      <c r="G860" t="s">
        <v>46</v>
      </c>
      <c r="H860" t="s">
        <v>55</v>
      </c>
      <c r="I860" t="s">
        <v>92</v>
      </c>
      <c r="J860" t="s">
        <v>65</v>
      </c>
      <c r="K860" t="s">
        <v>76</v>
      </c>
      <c r="L860">
        <v>2</v>
      </c>
      <c r="M860">
        <v>60</v>
      </c>
      <c r="N860" t="s">
        <v>93</v>
      </c>
      <c r="O860">
        <v>12</v>
      </c>
    </row>
    <row r="861" spans="1:15">
      <c r="A861" s="4">
        <v>46007</v>
      </c>
      <c r="B861" t="s">
        <v>51</v>
      </c>
      <c r="C861" t="s">
        <v>61</v>
      </c>
      <c r="D861">
        <v>1560</v>
      </c>
      <c r="E861" t="s">
        <v>62</v>
      </c>
      <c r="F861" t="s">
        <v>951</v>
      </c>
      <c r="G861" t="s">
        <v>46</v>
      </c>
      <c r="H861" t="s">
        <v>55</v>
      </c>
      <c r="I861" t="s">
        <v>79</v>
      </c>
      <c r="J861" t="s">
        <v>65</v>
      </c>
      <c r="K861" t="s">
        <v>58</v>
      </c>
      <c r="L861">
        <v>2</v>
      </c>
      <c r="M861">
        <v>45</v>
      </c>
      <c r="N861" t="s">
        <v>71</v>
      </c>
      <c r="O861">
        <v>7</v>
      </c>
    </row>
    <row r="862" spans="1:15">
      <c r="A862" s="4">
        <v>45836</v>
      </c>
      <c r="B862" t="s">
        <v>67</v>
      </c>
      <c r="C862" t="s">
        <v>61</v>
      </c>
      <c r="D862">
        <v>4280</v>
      </c>
      <c r="E862" t="s">
        <v>62</v>
      </c>
      <c r="F862" t="s">
        <v>952</v>
      </c>
      <c r="G862" t="s">
        <v>45</v>
      </c>
      <c r="H862" t="s">
        <v>55</v>
      </c>
      <c r="I862" t="s">
        <v>88</v>
      </c>
      <c r="J862" t="s">
        <v>57</v>
      </c>
      <c r="K862" t="s">
        <v>58</v>
      </c>
      <c r="L862">
        <v>1</v>
      </c>
      <c r="M862">
        <v>45</v>
      </c>
      <c r="N862" t="s">
        <v>93</v>
      </c>
      <c r="O862">
        <v>12</v>
      </c>
    </row>
    <row r="863" spans="1:15">
      <c r="A863" s="4">
        <v>45949</v>
      </c>
      <c r="B863" t="s">
        <v>90</v>
      </c>
      <c r="C863" t="s">
        <v>73</v>
      </c>
      <c r="D863">
        <v>4430</v>
      </c>
      <c r="E863" t="s">
        <v>74</v>
      </c>
      <c r="F863" t="s">
        <v>953</v>
      </c>
      <c r="G863" t="s">
        <v>45</v>
      </c>
      <c r="H863" t="s">
        <v>70</v>
      </c>
      <c r="I863" t="s">
        <v>56</v>
      </c>
      <c r="J863" t="s">
        <v>57</v>
      </c>
      <c r="K863" t="s">
        <v>76</v>
      </c>
      <c r="L863">
        <v>3</v>
      </c>
      <c r="M863">
        <v>90</v>
      </c>
      <c r="N863" t="s">
        <v>59</v>
      </c>
      <c r="O863">
        <v>17</v>
      </c>
    </row>
    <row r="864" spans="1:15">
      <c r="A864" s="4">
        <v>45841</v>
      </c>
      <c r="B864" t="s">
        <v>109</v>
      </c>
      <c r="C864" t="s">
        <v>68</v>
      </c>
      <c r="D864">
        <v>1410</v>
      </c>
      <c r="E864" t="s">
        <v>74</v>
      </c>
      <c r="F864" t="s">
        <v>954</v>
      </c>
      <c r="G864" t="s">
        <v>45</v>
      </c>
      <c r="H864" t="s">
        <v>70</v>
      </c>
      <c r="I864" t="s">
        <v>64</v>
      </c>
      <c r="J864" t="s">
        <v>57</v>
      </c>
      <c r="K864" t="s">
        <v>76</v>
      </c>
      <c r="L864">
        <v>1</v>
      </c>
      <c r="M864">
        <v>60</v>
      </c>
      <c r="N864" t="s">
        <v>93</v>
      </c>
      <c r="O864">
        <v>6</v>
      </c>
    </row>
    <row r="865" spans="1:15">
      <c r="A865" s="4">
        <v>45769</v>
      </c>
      <c r="B865" t="s">
        <v>80</v>
      </c>
      <c r="C865" t="s">
        <v>95</v>
      </c>
      <c r="D865">
        <v>510</v>
      </c>
      <c r="E865" t="s">
        <v>62</v>
      </c>
      <c r="F865" t="s">
        <v>955</v>
      </c>
      <c r="G865" t="s">
        <v>46</v>
      </c>
      <c r="H865" t="s">
        <v>70</v>
      </c>
      <c r="I865" t="s">
        <v>88</v>
      </c>
      <c r="J865" t="s">
        <v>57</v>
      </c>
      <c r="K865" t="s">
        <v>58</v>
      </c>
      <c r="L865">
        <v>3</v>
      </c>
      <c r="M865">
        <v>90</v>
      </c>
      <c r="N865" t="s">
        <v>93</v>
      </c>
      <c r="O865">
        <v>3</v>
      </c>
    </row>
    <row r="866" spans="1:15">
      <c r="A866" s="4">
        <v>45905</v>
      </c>
      <c r="B866" t="s">
        <v>60</v>
      </c>
      <c r="C866" t="s">
        <v>68</v>
      </c>
      <c r="D866">
        <v>2380</v>
      </c>
      <c r="E866" t="s">
        <v>53</v>
      </c>
      <c r="F866" t="s">
        <v>956</v>
      </c>
      <c r="G866" t="s">
        <v>46</v>
      </c>
      <c r="H866" t="s">
        <v>70</v>
      </c>
      <c r="I866" t="s">
        <v>79</v>
      </c>
      <c r="J866" t="s">
        <v>65</v>
      </c>
      <c r="K866" t="s">
        <v>76</v>
      </c>
      <c r="L866">
        <v>3</v>
      </c>
      <c r="M866">
        <v>45</v>
      </c>
      <c r="N866" t="s">
        <v>93</v>
      </c>
      <c r="O866">
        <v>9</v>
      </c>
    </row>
    <row r="867" spans="1:15">
      <c r="A867" s="4">
        <v>45865</v>
      </c>
      <c r="B867" t="s">
        <v>94</v>
      </c>
      <c r="C867" t="s">
        <v>61</v>
      </c>
      <c r="D867">
        <v>4070</v>
      </c>
      <c r="E867" t="s">
        <v>62</v>
      </c>
      <c r="F867" t="s">
        <v>957</v>
      </c>
      <c r="G867" t="s">
        <v>45</v>
      </c>
      <c r="H867" t="s">
        <v>70</v>
      </c>
      <c r="I867" t="s">
        <v>84</v>
      </c>
      <c r="J867" t="s">
        <v>57</v>
      </c>
      <c r="K867" t="s">
        <v>66</v>
      </c>
      <c r="L867">
        <v>1</v>
      </c>
      <c r="M867">
        <v>45</v>
      </c>
      <c r="N867" t="s">
        <v>59</v>
      </c>
      <c r="O867">
        <v>12</v>
      </c>
    </row>
    <row r="868" spans="1:15">
      <c r="A868" s="4">
        <v>45951</v>
      </c>
      <c r="B868" t="s">
        <v>94</v>
      </c>
      <c r="C868" t="s">
        <v>61</v>
      </c>
      <c r="D868">
        <v>4640</v>
      </c>
      <c r="E868" t="s">
        <v>62</v>
      </c>
      <c r="F868" t="s">
        <v>958</v>
      </c>
      <c r="G868" t="s">
        <v>46</v>
      </c>
      <c r="H868" t="s">
        <v>70</v>
      </c>
      <c r="I868" t="s">
        <v>88</v>
      </c>
      <c r="J868" t="s">
        <v>65</v>
      </c>
      <c r="K868" t="s">
        <v>58</v>
      </c>
      <c r="L868">
        <v>2</v>
      </c>
      <c r="M868">
        <v>30</v>
      </c>
      <c r="N868" t="s">
        <v>71</v>
      </c>
      <c r="O868">
        <v>3</v>
      </c>
    </row>
    <row r="869" spans="1:15">
      <c r="A869" s="4">
        <v>45910</v>
      </c>
      <c r="B869" t="s">
        <v>109</v>
      </c>
      <c r="C869" t="s">
        <v>77</v>
      </c>
      <c r="D869">
        <v>3090</v>
      </c>
      <c r="E869" t="s">
        <v>53</v>
      </c>
      <c r="F869" t="s">
        <v>959</v>
      </c>
      <c r="G869" t="s">
        <v>45</v>
      </c>
      <c r="H869" t="s">
        <v>70</v>
      </c>
      <c r="I869" t="s">
        <v>88</v>
      </c>
      <c r="J869" t="s">
        <v>65</v>
      </c>
      <c r="K869" t="s">
        <v>76</v>
      </c>
      <c r="L869">
        <v>4</v>
      </c>
      <c r="M869">
        <v>90</v>
      </c>
      <c r="N869" t="s">
        <v>59</v>
      </c>
      <c r="O869">
        <v>12</v>
      </c>
    </row>
    <row r="870" spans="1:15">
      <c r="A870" s="4">
        <v>45789</v>
      </c>
      <c r="B870" t="s">
        <v>67</v>
      </c>
      <c r="C870" t="s">
        <v>68</v>
      </c>
      <c r="D870">
        <v>4420</v>
      </c>
      <c r="E870" t="s">
        <v>53</v>
      </c>
      <c r="F870" t="s">
        <v>960</v>
      </c>
      <c r="G870" t="s">
        <v>45</v>
      </c>
      <c r="H870" t="s">
        <v>55</v>
      </c>
      <c r="I870" t="s">
        <v>64</v>
      </c>
      <c r="J870" t="s">
        <v>65</v>
      </c>
      <c r="K870" t="s">
        <v>58</v>
      </c>
      <c r="L870">
        <v>1</v>
      </c>
      <c r="M870">
        <v>90</v>
      </c>
      <c r="N870" t="s">
        <v>93</v>
      </c>
      <c r="O870">
        <v>3</v>
      </c>
    </row>
    <row r="871" spans="1:15">
      <c r="A871" s="4">
        <v>45851</v>
      </c>
      <c r="B871" t="s">
        <v>94</v>
      </c>
      <c r="C871" t="s">
        <v>81</v>
      </c>
      <c r="D871">
        <v>1370</v>
      </c>
      <c r="E871" t="s">
        <v>74</v>
      </c>
      <c r="F871" t="s">
        <v>961</v>
      </c>
      <c r="G871" t="s">
        <v>46</v>
      </c>
      <c r="H871" t="s">
        <v>55</v>
      </c>
      <c r="I871" t="s">
        <v>64</v>
      </c>
      <c r="J871" t="s">
        <v>65</v>
      </c>
      <c r="K871" t="s">
        <v>58</v>
      </c>
      <c r="L871">
        <v>3</v>
      </c>
      <c r="M871">
        <v>60</v>
      </c>
      <c r="N871" t="s">
        <v>93</v>
      </c>
      <c r="O871">
        <v>12</v>
      </c>
    </row>
    <row r="872" spans="1:15">
      <c r="A872" s="4">
        <v>45918</v>
      </c>
      <c r="B872" t="s">
        <v>51</v>
      </c>
      <c r="C872" t="s">
        <v>52</v>
      </c>
      <c r="D872">
        <v>780</v>
      </c>
      <c r="E872" t="s">
        <v>62</v>
      </c>
      <c r="F872" t="s">
        <v>962</v>
      </c>
      <c r="G872" t="s">
        <v>45</v>
      </c>
      <c r="H872" t="s">
        <v>55</v>
      </c>
      <c r="I872" t="s">
        <v>56</v>
      </c>
      <c r="J872" t="s">
        <v>65</v>
      </c>
      <c r="K872" t="s">
        <v>66</v>
      </c>
      <c r="L872">
        <v>2</v>
      </c>
      <c r="M872">
        <v>60</v>
      </c>
      <c r="N872" t="s">
        <v>59</v>
      </c>
      <c r="O872">
        <v>12</v>
      </c>
    </row>
    <row r="873" spans="1:15">
      <c r="A873" s="4">
        <v>45972</v>
      </c>
      <c r="B873" t="s">
        <v>72</v>
      </c>
      <c r="C873" t="s">
        <v>68</v>
      </c>
      <c r="D873">
        <v>1050</v>
      </c>
      <c r="E873" t="s">
        <v>62</v>
      </c>
      <c r="F873" t="s">
        <v>963</v>
      </c>
      <c r="G873" t="s">
        <v>46</v>
      </c>
      <c r="H873" t="s">
        <v>55</v>
      </c>
      <c r="I873" t="s">
        <v>92</v>
      </c>
      <c r="J873" t="s">
        <v>65</v>
      </c>
      <c r="K873" t="s">
        <v>66</v>
      </c>
      <c r="L873">
        <v>5</v>
      </c>
      <c r="M873">
        <v>45</v>
      </c>
      <c r="N873" t="s">
        <v>59</v>
      </c>
      <c r="O873">
        <v>14</v>
      </c>
    </row>
    <row r="874" spans="1:15">
      <c r="A874" s="4">
        <v>45795</v>
      </c>
      <c r="B874" t="s">
        <v>60</v>
      </c>
      <c r="C874" t="s">
        <v>114</v>
      </c>
      <c r="D874">
        <v>3210</v>
      </c>
      <c r="E874" t="s">
        <v>62</v>
      </c>
      <c r="F874" t="s">
        <v>964</v>
      </c>
      <c r="G874" t="s">
        <v>46</v>
      </c>
      <c r="H874" t="s">
        <v>55</v>
      </c>
      <c r="I874" t="s">
        <v>84</v>
      </c>
      <c r="J874" t="s">
        <v>65</v>
      </c>
      <c r="K874" t="s">
        <v>58</v>
      </c>
      <c r="L874">
        <v>1</v>
      </c>
      <c r="M874">
        <v>90</v>
      </c>
      <c r="N874" t="s">
        <v>93</v>
      </c>
      <c r="O874">
        <v>12</v>
      </c>
    </row>
    <row r="875" spans="1:15">
      <c r="A875" s="4">
        <v>45924</v>
      </c>
      <c r="B875" t="s">
        <v>94</v>
      </c>
      <c r="C875" t="s">
        <v>73</v>
      </c>
      <c r="D875">
        <v>2720</v>
      </c>
      <c r="E875" t="s">
        <v>62</v>
      </c>
      <c r="F875" t="s">
        <v>965</v>
      </c>
      <c r="G875" t="s">
        <v>45</v>
      </c>
      <c r="H875" t="s">
        <v>70</v>
      </c>
      <c r="I875" t="s">
        <v>84</v>
      </c>
      <c r="J875" t="s">
        <v>57</v>
      </c>
      <c r="K875" t="s">
        <v>66</v>
      </c>
      <c r="L875">
        <v>2</v>
      </c>
      <c r="M875">
        <v>45</v>
      </c>
      <c r="N875" t="s">
        <v>93</v>
      </c>
      <c r="O875">
        <v>4</v>
      </c>
    </row>
    <row r="876" spans="1:15">
      <c r="A876" s="4">
        <v>45901</v>
      </c>
      <c r="B876" t="s">
        <v>97</v>
      </c>
      <c r="C876" t="s">
        <v>61</v>
      </c>
      <c r="D876">
        <v>1180</v>
      </c>
      <c r="E876" t="s">
        <v>74</v>
      </c>
      <c r="F876" t="s">
        <v>966</v>
      </c>
      <c r="G876" t="s">
        <v>46</v>
      </c>
      <c r="H876" t="s">
        <v>70</v>
      </c>
      <c r="I876" t="s">
        <v>92</v>
      </c>
      <c r="J876" t="s">
        <v>57</v>
      </c>
      <c r="K876" t="s">
        <v>58</v>
      </c>
      <c r="L876">
        <v>1</v>
      </c>
      <c r="M876">
        <v>60</v>
      </c>
      <c r="N876" t="s">
        <v>59</v>
      </c>
      <c r="O876">
        <v>14</v>
      </c>
    </row>
    <row r="877" spans="1:15">
      <c r="A877" s="4">
        <v>45976</v>
      </c>
      <c r="B877" t="s">
        <v>116</v>
      </c>
      <c r="C877" t="s">
        <v>61</v>
      </c>
      <c r="D877">
        <v>830</v>
      </c>
      <c r="E877" t="s">
        <v>74</v>
      </c>
      <c r="F877" t="s">
        <v>967</v>
      </c>
      <c r="G877" t="s">
        <v>45</v>
      </c>
      <c r="H877" t="s">
        <v>55</v>
      </c>
      <c r="I877" t="s">
        <v>92</v>
      </c>
      <c r="J877" t="s">
        <v>65</v>
      </c>
      <c r="K877" t="s">
        <v>58</v>
      </c>
      <c r="L877">
        <v>4</v>
      </c>
      <c r="M877">
        <v>30</v>
      </c>
      <c r="N877" t="s">
        <v>93</v>
      </c>
      <c r="O877">
        <v>4</v>
      </c>
    </row>
    <row r="878" spans="1:15">
      <c r="A878" s="4">
        <v>45880</v>
      </c>
      <c r="B878" t="s">
        <v>97</v>
      </c>
      <c r="C878" t="s">
        <v>68</v>
      </c>
      <c r="D878">
        <v>1550</v>
      </c>
      <c r="E878" t="s">
        <v>74</v>
      </c>
      <c r="F878" t="s">
        <v>968</v>
      </c>
      <c r="G878" t="s">
        <v>45</v>
      </c>
      <c r="H878" t="s">
        <v>55</v>
      </c>
      <c r="I878" t="s">
        <v>88</v>
      </c>
      <c r="J878" t="s">
        <v>57</v>
      </c>
      <c r="K878" t="s">
        <v>76</v>
      </c>
      <c r="L878">
        <v>1</v>
      </c>
      <c r="M878">
        <v>90</v>
      </c>
      <c r="N878" t="s">
        <v>59</v>
      </c>
      <c r="O878">
        <v>14</v>
      </c>
    </row>
    <row r="879" spans="1:15">
      <c r="A879" s="4">
        <v>45902</v>
      </c>
      <c r="B879" t="s">
        <v>85</v>
      </c>
      <c r="C879" t="s">
        <v>52</v>
      </c>
      <c r="D879">
        <v>1850</v>
      </c>
      <c r="E879" t="s">
        <v>74</v>
      </c>
      <c r="F879" t="s">
        <v>969</v>
      </c>
      <c r="G879" t="s">
        <v>45</v>
      </c>
      <c r="H879" t="s">
        <v>70</v>
      </c>
      <c r="I879" t="s">
        <v>92</v>
      </c>
      <c r="J879" t="s">
        <v>65</v>
      </c>
      <c r="K879" t="s">
        <v>58</v>
      </c>
      <c r="L879">
        <v>3</v>
      </c>
      <c r="M879">
        <v>45</v>
      </c>
      <c r="N879" t="s">
        <v>71</v>
      </c>
      <c r="O879">
        <v>14</v>
      </c>
    </row>
    <row r="880" spans="1:15">
      <c r="A880" s="4">
        <v>45806</v>
      </c>
      <c r="B880" t="s">
        <v>51</v>
      </c>
      <c r="C880" t="s">
        <v>68</v>
      </c>
      <c r="D880">
        <v>970</v>
      </c>
      <c r="E880" t="s">
        <v>62</v>
      </c>
      <c r="F880" t="s">
        <v>970</v>
      </c>
      <c r="G880" t="s">
        <v>46</v>
      </c>
      <c r="H880" t="s">
        <v>70</v>
      </c>
      <c r="I880" t="s">
        <v>84</v>
      </c>
      <c r="J880" t="s">
        <v>65</v>
      </c>
      <c r="K880" t="s">
        <v>58</v>
      </c>
      <c r="L880">
        <v>3</v>
      </c>
      <c r="M880">
        <v>45</v>
      </c>
      <c r="N880" t="s">
        <v>93</v>
      </c>
      <c r="O880">
        <v>8</v>
      </c>
    </row>
    <row r="881" spans="1:15">
      <c r="A881" s="4">
        <v>45702</v>
      </c>
      <c r="B881" t="s">
        <v>85</v>
      </c>
      <c r="C881" t="s">
        <v>95</v>
      </c>
      <c r="D881">
        <v>4530</v>
      </c>
      <c r="E881" t="s">
        <v>62</v>
      </c>
      <c r="F881" t="s">
        <v>971</v>
      </c>
      <c r="G881" t="s">
        <v>45</v>
      </c>
      <c r="H881" t="s">
        <v>55</v>
      </c>
      <c r="I881" t="s">
        <v>79</v>
      </c>
      <c r="J881" t="s">
        <v>65</v>
      </c>
      <c r="K881" t="s">
        <v>66</v>
      </c>
      <c r="L881">
        <v>1</v>
      </c>
      <c r="M881">
        <v>60</v>
      </c>
      <c r="N881" t="s">
        <v>59</v>
      </c>
      <c r="O881">
        <v>17</v>
      </c>
    </row>
    <row r="882" spans="1:15">
      <c r="A882" s="4">
        <v>45985</v>
      </c>
      <c r="B882" t="s">
        <v>72</v>
      </c>
      <c r="C882" t="s">
        <v>73</v>
      </c>
      <c r="D882">
        <v>740</v>
      </c>
      <c r="E882" t="s">
        <v>74</v>
      </c>
      <c r="F882" t="s">
        <v>972</v>
      </c>
      <c r="G882" t="s">
        <v>45</v>
      </c>
      <c r="H882" t="s">
        <v>55</v>
      </c>
      <c r="I882" t="s">
        <v>64</v>
      </c>
      <c r="J882" t="s">
        <v>57</v>
      </c>
      <c r="K882" t="s">
        <v>66</v>
      </c>
      <c r="L882">
        <v>2</v>
      </c>
      <c r="M882">
        <v>60</v>
      </c>
      <c r="N882" t="s">
        <v>93</v>
      </c>
      <c r="O882">
        <v>20</v>
      </c>
    </row>
    <row r="883" spans="1:15">
      <c r="A883" s="4">
        <v>45895</v>
      </c>
      <c r="B883" t="s">
        <v>90</v>
      </c>
      <c r="C883" t="s">
        <v>77</v>
      </c>
      <c r="D883">
        <v>4580</v>
      </c>
      <c r="E883" t="s">
        <v>74</v>
      </c>
      <c r="F883" t="s">
        <v>973</v>
      </c>
      <c r="G883" t="s">
        <v>45</v>
      </c>
      <c r="H883" t="s">
        <v>70</v>
      </c>
      <c r="I883" t="s">
        <v>84</v>
      </c>
      <c r="J883" t="s">
        <v>65</v>
      </c>
      <c r="K883" t="s">
        <v>76</v>
      </c>
      <c r="L883">
        <v>5</v>
      </c>
      <c r="M883">
        <v>90</v>
      </c>
      <c r="N883" t="s">
        <v>71</v>
      </c>
      <c r="O883">
        <v>13</v>
      </c>
    </row>
    <row r="884" spans="1:15">
      <c r="A884" s="4">
        <v>45669</v>
      </c>
      <c r="B884" t="s">
        <v>67</v>
      </c>
      <c r="C884" t="s">
        <v>68</v>
      </c>
      <c r="D884">
        <v>350</v>
      </c>
      <c r="E884" t="s">
        <v>74</v>
      </c>
      <c r="F884" t="s">
        <v>974</v>
      </c>
      <c r="G884" t="s">
        <v>45</v>
      </c>
      <c r="H884" t="s">
        <v>55</v>
      </c>
      <c r="I884" t="s">
        <v>56</v>
      </c>
      <c r="J884" t="s">
        <v>57</v>
      </c>
      <c r="K884" t="s">
        <v>76</v>
      </c>
      <c r="L884">
        <v>1</v>
      </c>
      <c r="M884">
        <v>60</v>
      </c>
      <c r="N884" t="s">
        <v>59</v>
      </c>
      <c r="O884">
        <v>15</v>
      </c>
    </row>
    <row r="885" spans="1:15">
      <c r="A885" s="4">
        <v>45700</v>
      </c>
      <c r="B885" t="s">
        <v>51</v>
      </c>
      <c r="C885" t="s">
        <v>52</v>
      </c>
      <c r="D885">
        <v>260</v>
      </c>
      <c r="E885" t="s">
        <v>53</v>
      </c>
      <c r="F885" t="s">
        <v>975</v>
      </c>
      <c r="G885" t="s">
        <v>45</v>
      </c>
      <c r="H885" t="s">
        <v>70</v>
      </c>
      <c r="I885" t="s">
        <v>88</v>
      </c>
      <c r="J885" t="s">
        <v>65</v>
      </c>
      <c r="K885" t="s">
        <v>66</v>
      </c>
      <c r="L885">
        <v>1</v>
      </c>
      <c r="M885">
        <v>45</v>
      </c>
      <c r="N885" t="s">
        <v>59</v>
      </c>
      <c r="O885">
        <v>17</v>
      </c>
    </row>
    <row r="886" spans="1:15">
      <c r="A886" s="4">
        <v>45801</v>
      </c>
      <c r="B886" t="s">
        <v>80</v>
      </c>
      <c r="C886" t="s">
        <v>86</v>
      </c>
      <c r="D886">
        <v>3780</v>
      </c>
      <c r="E886" t="s">
        <v>74</v>
      </c>
      <c r="F886" t="s">
        <v>976</v>
      </c>
      <c r="G886" t="s">
        <v>46</v>
      </c>
      <c r="H886" t="s">
        <v>55</v>
      </c>
      <c r="I886" t="s">
        <v>79</v>
      </c>
      <c r="J886" t="s">
        <v>65</v>
      </c>
      <c r="K886" t="s">
        <v>76</v>
      </c>
      <c r="L886">
        <v>1</v>
      </c>
      <c r="M886">
        <v>45</v>
      </c>
      <c r="N886" t="s">
        <v>71</v>
      </c>
      <c r="O886">
        <v>15</v>
      </c>
    </row>
    <row r="887" spans="1:15">
      <c r="A887" s="4">
        <v>45976</v>
      </c>
      <c r="B887" t="s">
        <v>72</v>
      </c>
      <c r="C887" t="s">
        <v>86</v>
      </c>
      <c r="D887">
        <v>4190</v>
      </c>
      <c r="E887" t="s">
        <v>62</v>
      </c>
      <c r="F887" t="s">
        <v>977</v>
      </c>
      <c r="G887" t="s">
        <v>45</v>
      </c>
      <c r="H887" t="s">
        <v>55</v>
      </c>
      <c r="I887" t="s">
        <v>92</v>
      </c>
      <c r="J887" t="s">
        <v>65</v>
      </c>
      <c r="K887" t="s">
        <v>58</v>
      </c>
      <c r="L887">
        <v>4</v>
      </c>
      <c r="M887">
        <v>30</v>
      </c>
      <c r="N887" t="s">
        <v>71</v>
      </c>
      <c r="O887">
        <v>17</v>
      </c>
    </row>
    <row r="888" spans="1:15">
      <c r="A888" s="4">
        <v>45742</v>
      </c>
      <c r="B888" t="s">
        <v>101</v>
      </c>
      <c r="C888" t="s">
        <v>61</v>
      </c>
      <c r="D888">
        <v>3810</v>
      </c>
      <c r="E888" t="s">
        <v>74</v>
      </c>
      <c r="F888" t="s">
        <v>978</v>
      </c>
      <c r="G888" t="s">
        <v>45</v>
      </c>
      <c r="H888" t="s">
        <v>55</v>
      </c>
      <c r="I888" t="s">
        <v>64</v>
      </c>
      <c r="J888" t="s">
        <v>65</v>
      </c>
      <c r="K888" t="s">
        <v>66</v>
      </c>
      <c r="L888">
        <v>1</v>
      </c>
      <c r="M888">
        <v>30</v>
      </c>
      <c r="N888" t="s">
        <v>71</v>
      </c>
      <c r="O888">
        <v>5</v>
      </c>
    </row>
    <row r="889" spans="1:15">
      <c r="A889" s="4">
        <v>45866</v>
      </c>
      <c r="B889" t="s">
        <v>85</v>
      </c>
      <c r="C889" t="s">
        <v>61</v>
      </c>
      <c r="D889">
        <v>480</v>
      </c>
      <c r="E889" t="s">
        <v>53</v>
      </c>
      <c r="F889" t="s">
        <v>979</v>
      </c>
      <c r="G889" t="s">
        <v>45</v>
      </c>
      <c r="H889" t="s">
        <v>55</v>
      </c>
      <c r="I889" t="s">
        <v>79</v>
      </c>
      <c r="J889" t="s">
        <v>65</v>
      </c>
      <c r="K889" t="s">
        <v>76</v>
      </c>
      <c r="L889">
        <v>1</v>
      </c>
      <c r="M889">
        <v>45</v>
      </c>
      <c r="N889" t="s">
        <v>71</v>
      </c>
      <c r="O889">
        <v>13</v>
      </c>
    </row>
    <row r="890" spans="1:15">
      <c r="A890" s="4">
        <v>45852</v>
      </c>
      <c r="B890" t="s">
        <v>60</v>
      </c>
      <c r="C890" t="s">
        <v>86</v>
      </c>
      <c r="D890">
        <v>2260</v>
      </c>
      <c r="E890" t="s">
        <v>62</v>
      </c>
      <c r="F890" t="s">
        <v>980</v>
      </c>
      <c r="G890" t="s">
        <v>46</v>
      </c>
      <c r="H890" t="s">
        <v>70</v>
      </c>
      <c r="I890" t="s">
        <v>88</v>
      </c>
      <c r="J890" t="s">
        <v>65</v>
      </c>
      <c r="K890" t="s">
        <v>58</v>
      </c>
      <c r="L890">
        <v>3</v>
      </c>
      <c r="M890">
        <v>30</v>
      </c>
      <c r="N890" t="s">
        <v>59</v>
      </c>
      <c r="O890">
        <v>17</v>
      </c>
    </row>
    <row r="891" spans="1:15">
      <c r="A891" s="4">
        <v>45697</v>
      </c>
      <c r="B891" t="s">
        <v>51</v>
      </c>
      <c r="C891" t="s">
        <v>52</v>
      </c>
      <c r="D891">
        <v>4100</v>
      </c>
      <c r="E891" t="s">
        <v>53</v>
      </c>
      <c r="F891" t="s">
        <v>981</v>
      </c>
      <c r="G891" t="s">
        <v>45</v>
      </c>
      <c r="H891" t="s">
        <v>70</v>
      </c>
      <c r="I891" t="s">
        <v>79</v>
      </c>
      <c r="J891" t="s">
        <v>57</v>
      </c>
      <c r="K891" t="s">
        <v>58</v>
      </c>
      <c r="L891">
        <v>2</v>
      </c>
      <c r="M891">
        <v>60</v>
      </c>
      <c r="N891" t="s">
        <v>93</v>
      </c>
      <c r="O891">
        <v>7</v>
      </c>
    </row>
    <row r="892" spans="1:15">
      <c r="A892" s="4">
        <v>45682</v>
      </c>
      <c r="B892" t="s">
        <v>97</v>
      </c>
      <c r="C892" t="s">
        <v>86</v>
      </c>
      <c r="D892">
        <v>2920</v>
      </c>
      <c r="E892" t="s">
        <v>53</v>
      </c>
      <c r="F892" t="s">
        <v>982</v>
      </c>
      <c r="G892" t="s">
        <v>45</v>
      </c>
      <c r="H892" t="s">
        <v>70</v>
      </c>
      <c r="I892" t="s">
        <v>79</v>
      </c>
      <c r="J892" t="s">
        <v>57</v>
      </c>
      <c r="K892" t="s">
        <v>58</v>
      </c>
      <c r="L892">
        <v>2</v>
      </c>
      <c r="M892">
        <v>60</v>
      </c>
      <c r="N892" t="s">
        <v>59</v>
      </c>
      <c r="O892">
        <v>19</v>
      </c>
    </row>
    <row r="893" spans="1:15">
      <c r="A893" s="4">
        <v>45915</v>
      </c>
      <c r="B893" t="s">
        <v>85</v>
      </c>
      <c r="C893" t="s">
        <v>68</v>
      </c>
      <c r="D893">
        <v>1230</v>
      </c>
      <c r="E893" t="s">
        <v>74</v>
      </c>
      <c r="F893" t="s">
        <v>983</v>
      </c>
      <c r="G893" t="s">
        <v>46</v>
      </c>
      <c r="H893" t="s">
        <v>70</v>
      </c>
      <c r="I893" t="s">
        <v>64</v>
      </c>
      <c r="J893" t="s">
        <v>65</v>
      </c>
      <c r="K893" t="s">
        <v>66</v>
      </c>
      <c r="L893">
        <v>2</v>
      </c>
      <c r="M893">
        <v>60</v>
      </c>
      <c r="N893" t="s">
        <v>59</v>
      </c>
      <c r="O893">
        <v>16</v>
      </c>
    </row>
    <row r="894" spans="1:15">
      <c r="A894" s="4">
        <v>45701</v>
      </c>
      <c r="B894" t="s">
        <v>85</v>
      </c>
      <c r="C894" t="s">
        <v>61</v>
      </c>
      <c r="D894">
        <v>350</v>
      </c>
      <c r="E894" t="s">
        <v>74</v>
      </c>
      <c r="F894" t="s">
        <v>984</v>
      </c>
      <c r="G894" t="s">
        <v>45</v>
      </c>
      <c r="H894" t="s">
        <v>70</v>
      </c>
      <c r="I894" t="s">
        <v>88</v>
      </c>
      <c r="J894" t="s">
        <v>57</v>
      </c>
      <c r="K894" t="s">
        <v>58</v>
      </c>
      <c r="L894">
        <v>5</v>
      </c>
      <c r="M894">
        <v>30</v>
      </c>
      <c r="N894" t="s">
        <v>59</v>
      </c>
      <c r="O894">
        <v>19</v>
      </c>
    </row>
    <row r="895" spans="1:15">
      <c r="A895" s="4">
        <v>45994</v>
      </c>
      <c r="B895" t="s">
        <v>116</v>
      </c>
      <c r="C895" t="s">
        <v>81</v>
      </c>
      <c r="D895">
        <v>2550</v>
      </c>
      <c r="E895" t="s">
        <v>62</v>
      </c>
      <c r="F895" t="s">
        <v>985</v>
      </c>
      <c r="G895" t="s">
        <v>45</v>
      </c>
      <c r="H895" t="s">
        <v>70</v>
      </c>
      <c r="I895" t="s">
        <v>79</v>
      </c>
      <c r="J895" t="s">
        <v>65</v>
      </c>
      <c r="K895" t="s">
        <v>76</v>
      </c>
      <c r="L895">
        <v>2</v>
      </c>
      <c r="M895">
        <v>60</v>
      </c>
      <c r="N895" t="s">
        <v>93</v>
      </c>
      <c r="O895">
        <v>6</v>
      </c>
    </row>
    <row r="896" spans="1:15">
      <c r="A896" s="4">
        <v>46012</v>
      </c>
      <c r="B896" t="s">
        <v>94</v>
      </c>
      <c r="C896" t="s">
        <v>95</v>
      </c>
      <c r="D896">
        <v>4330</v>
      </c>
      <c r="E896" t="s">
        <v>62</v>
      </c>
      <c r="F896" t="s">
        <v>986</v>
      </c>
      <c r="G896" t="s">
        <v>46</v>
      </c>
      <c r="H896" t="s">
        <v>55</v>
      </c>
      <c r="I896" t="s">
        <v>88</v>
      </c>
      <c r="J896" t="s">
        <v>57</v>
      </c>
      <c r="K896" t="s">
        <v>66</v>
      </c>
      <c r="L896">
        <v>2</v>
      </c>
      <c r="M896">
        <v>30</v>
      </c>
      <c r="N896" t="s">
        <v>59</v>
      </c>
      <c r="O896">
        <v>11</v>
      </c>
    </row>
    <row r="897" spans="1:15">
      <c r="A897" s="4">
        <v>45989</v>
      </c>
      <c r="B897" t="s">
        <v>116</v>
      </c>
      <c r="C897" t="s">
        <v>68</v>
      </c>
      <c r="D897">
        <v>820</v>
      </c>
      <c r="E897" t="s">
        <v>62</v>
      </c>
      <c r="F897" t="s">
        <v>987</v>
      </c>
      <c r="G897" t="s">
        <v>45</v>
      </c>
      <c r="H897" t="s">
        <v>55</v>
      </c>
      <c r="I897" t="s">
        <v>84</v>
      </c>
      <c r="J897" t="s">
        <v>65</v>
      </c>
      <c r="K897" t="s">
        <v>76</v>
      </c>
      <c r="L897">
        <v>2</v>
      </c>
      <c r="M897">
        <v>90</v>
      </c>
      <c r="N897" t="s">
        <v>71</v>
      </c>
      <c r="O897">
        <v>3</v>
      </c>
    </row>
    <row r="898" spans="1:15">
      <c r="A898" s="4">
        <v>45696</v>
      </c>
      <c r="B898" t="s">
        <v>80</v>
      </c>
      <c r="C898" t="s">
        <v>114</v>
      </c>
      <c r="D898">
        <v>1820</v>
      </c>
      <c r="E898" t="s">
        <v>62</v>
      </c>
      <c r="F898" t="s">
        <v>988</v>
      </c>
      <c r="G898" t="s">
        <v>46</v>
      </c>
      <c r="H898" t="s">
        <v>55</v>
      </c>
      <c r="I898" t="s">
        <v>92</v>
      </c>
      <c r="J898" t="s">
        <v>65</v>
      </c>
      <c r="K898" t="s">
        <v>58</v>
      </c>
      <c r="L898">
        <v>4</v>
      </c>
      <c r="M898">
        <v>45</v>
      </c>
      <c r="N898" t="s">
        <v>93</v>
      </c>
      <c r="O898">
        <v>17</v>
      </c>
    </row>
    <row r="899" spans="1:15">
      <c r="A899" s="4">
        <v>45752</v>
      </c>
      <c r="B899" t="s">
        <v>109</v>
      </c>
      <c r="C899" t="s">
        <v>68</v>
      </c>
      <c r="D899">
        <v>4870</v>
      </c>
      <c r="E899" t="s">
        <v>53</v>
      </c>
      <c r="F899" t="s">
        <v>989</v>
      </c>
      <c r="G899" t="s">
        <v>46</v>
      </c>
      <c r="H899" t="s">
        <v>55</v>
      </c>
      <c r="I899" t="s">
        <v>92</v>
      </c>
      <c r="J899" t="s">
        <v>57</v>
      </c>
      <c r="K899" t="s">
        <v>76</v>
      </c>
      <c r="L899">
        <v>2</v>
      </c>
      <c r="M899">
        <v>60</v>
      </c>
      <c r="N899" t="s">
        <v>93</v>
      </c>
      <c r="O899">
        <v>12</v>
      </c>
    </row>
    <row r="900" spans="1:15">
      <c r="A900" s="4">
        <v>46011</v>
      </c>
      <c r="B900" t="s">
        <v>85</v>
      </c>
      <c r="C900" t="s">
        <v>73</v>
      </c>
      <c r="D900">
        <v>1340</v>
      </c>
      <c r="E900" t="s">
        <v>62</v>
      </c>
      <c r="F900" t="s">
        <v>990</v>
      </c>
      <c r="G900" t="s">
        <v>46</v>
      </c>
      <c r="H900" t="s">
        <v>70</v>
      </c>
      <c r="I900" t="s">
        <v>56</v>
      </c>
      <c r="J900" t="s">
        <v>65</v>
      </c>
      <c r="K900" t="s">
        <v>66</v>
      </c>
      <c r="L900">
        <v>4</v>
      </c>
      <c r="M900">
        <v>90</v>
      </c>
      <c r="N900" t="s">
        <v>71</v>
      </c>
      <c r="O900">
        <v>11</v>
      </c>
    </row>
    <row r="901" spans="1:15">
      <c r="A901" s="4">
        <v>45901</v>
      </c>
      <c r="B901" t="s">
        <v>101</v>
      </c>
      <c r="C901" t="s">
        <v>52</v>
      </c>
      <c r="D901">
        <v>3990</v>
      </c>
      <c r="E901" t="s">
        <v>62</v>
      </c>
      <c r="F901" t="s">
        <v>991</v>
      </c>
      <c r="G901" t="s">
        <v>46</v>
      </c>
      <c r="H901" t="s">
        <v>70</v>
      </c>
      <c r="I901" t="s">
        <v>56</v>
      </c>
      <c r="J901" t="s">
        <v>57</v>
      </c>
      <c r="K901" t="s">
        <v>76</v>
      </c>
      <c r="L901">
        <v>4</v>
      </c>
      <c r="M901">
        <v>60</v>
      </c>
      <c r="N901" t="s">
        <v>59</v>
      </c>
      <c r="O901">
        <v>17</v>
      </c>
    </row>
    <row r="902" spans="1:15">
      <c r="A902" s="4">
        <v>45709</v>
      </c>
      <c r="B902" t="s">
        <v>109</v>
      </c>
      <c r="C902" t="s">
        <v>73</v>
      </c>
      <c r="D902">
        <v>4390</v>
      </c>
      <c r="E902" t="s">
        <v>53</v>
      </c>
      <c r="F902" t="s">
        <v>992</v>
      </c>
      <c r="G902" t="s">
        <v>45</v>
      </c>
      <c r="H902" t="s">
        <v>70</v>
      </c>
      <c r="I902" t="s">
        <v>84</v>
      </c>
      <c r="J902" t="s">
        <v>65</v>
      </c>
      <c r="K902" t="s">
        <v>76</v>
      </c>
      <c r="L902">
        <v>4</v>
      </c>
      <c r="M902">
        <v>45</v>
      </c>
      <c r="N902" t="s">
        <v>59</v>
      </c>
      <c r="O902">
        <v>18</v>
      </c>
    </row>
    <row r="903" spans="1:15">
      <c r="A903" s="4">
        <v>45758</v>
      </c>
      <c r="B903" t="s">
        <v>67</v>
      </c>
      <c r="C903" t="s">
        <v>68</v>
      </c>
      <c r="D903">
        <v>4390</v>
      </c>
      <c r="E903" t="s">
        <v>74</v>
      </c>
      <c r="F903" t="s">
        <v>993</v>
      </c>
      <c r="G903" t="s">
        <v>46</v>
      </c>
      <c r="H903" t="s">
        <v>55</v>
      </c>
      <c r="I903" t="s">
        <v>64</v>
      </c>
      <c r="J903" t="s">
        <v>57</v>
      </c>
      <c r="K903" t="s">
        <v>58</v>
      </c>
      <c r="L903">
        <v>3</v>
      </c>
      <c r="M903">
        <v>45</v>
      </c>
      <c r="N903" t="s">
        <v>71</v>
      </c>
      <c r="O903">
        <v>15</v>
      </c>
    </row>
    <row r="904" spans="1:15">
      <c r="A904" s="4">
        <v>45800</v>
      </c>
      <c r="B904" t="s">
        <v>94</v>
      </c>
      <c r="C904" t="s">
        <v>68</v>
      </c>
      <c r="D904">
        <v>2810</v>
      </c>
      <c r="E904" t="s">
        <v>74</v>
      </c>
      <c r="F904" t="s">
        <v>994</v>
      </c>
      <c r="G904" t="s">
        <v>46</v>
      </c>
      <c r="H904" t="s">
        <v>55</v>
      </c>
      <c r="I904" t="s">
        <v>56</v>
      </c>
      <c r="J904" t="s">
        <v>57</v>
      </c>
      <c r="K904" t="s">
        <v>58</v>
      </c>
      <c r="L904">
        <v>1</v>
      </c>
      <c r="M904">
        <v>30</v>
      </c>
      <c r="N904" t="s">
        <v>59</v>
      </c>
      <c r="O904">
        <v>9</v>
      </c>
    </row>
    <row r="905" spans="1:15">
      <c r="A905" s="4">
        <v>45984</v>
      </c>
      <c r="B905" t="s">
        <v>94</v>
      </c>
      <c r="C905" t="s">
        <v>73</v>
      </c>
      <c r="D905">
        <v>2500</v>
      </c>
      <c r="E905" t="s">
        <v>74</v>
      </c>
      <c r="F905" t="s">
        <v>995</v>
      </c>
      <c r="G905" t="s">
        <v>45</v>
      </c>
      <c r="H905" t="s">
        <v>55</v>
      </c>
      <c r="I905" t="s">
        <v>92</v>
      </c>
      <c r="J905" t="s">
        <v>57</v>
      </c>
      <c r="K905" t="s">
        <v>66</v>
      </c>
      <c r="L905">
        <v>3</v>
      </c>
      <c r="M905">
        <v>30</v>
      </c>
      <c r="N905" t="s">
        <v>59</v>
      </c>
      <c r="O905">
        <v>12</v>
      </c>
    </row>
    <row r="906" spans="1:15">
      <c r="A906" s="4">
        <v>45740</v>
      </c>
      <c r="B906" t="s">
        <v>109</v>
      </c>
      <c r="C906" t="s">
        <v>86</v>
      </c>
      <c r="D906">
        <v>1840</v>
      </c>
      <c r="E906" t="s">
        <v>62</v>
      </c>
      <c r="F906" t="s">
        <v>996</v>
      </c>
      <c r="G906" t="s">
        <v>45</v>
      </c>
      <c r="H906" t="s">
        <v>70</v>
      </c>
      <c r="I906" t="s">
        <v>88</v>
      </c>
      <c r="J906" t="s">
        <v>65</v>
      </c>
      <c r="K906" t="s">
        <v>58</v>
      </c>
      <c r="L906">
        <v>3</v>
      </c>
      <c r="M906">
        <v>30</v>
      </c>
      <c r="N906" t="s">
        <v>93</v>
      </c>
      <c r="O906">
        <v>7</v>
      </c>
    </row>
    <row r="907" spans="1:15">
      <c r="A907" s="4">
        <v>45932</v>
      </c>
      <c r="B907" t="s">
        <v>80</v>
      </c>
      <c r="C907" t="s">
        <v>52</v>
      </c>
      <c r="D907">
        <v>3650</v>
      </c>
      <c r="E907" t="s">
        <v>74</v>
      </c>
      <c r="F907" t="s">
        <v>997</v>
      </c>
      <c r="G907" t="s">
        <v>46</v>
      </c>
      <c r="H907" t="s">
        <v>55</v>
      </c>
      <c r="I907" t="s">
        <v>84</v>
      </c>
      <c r="J907" t="s">
        <v>65</v>
      </c>
      <c r="K907" t="s">
        <v>58</v>
      </c>
      <c r="L907">
        <v>3</v>
      </c>
      <c r="M907">
        <v>45</v>
      </c>
      <c r="N907" t="s">
        <v>59</v>
      </c>
      <c r="O907">
        <v>13</v>
      </c>
    </row>
    <row r="908" spans="1:15">
      <c r="A908" s="4">
        <v>45989</v>
      </c>
      <c r="B908" t="s">
        <v>80</v>
      </c>
      <c r="C908" t="s">
        <v>52</v>
      </c>
      <c r="D908">
        <v>1760</v>
      </c>
      <c r="E908" t="s">
        <v>62</v>
      </c>
      <c r="F908" t="s">
        <v>998</v>
      </c>
      <c r="G908" t="s">
        <v>46</v>
      </c>
      <c r="H908" t="s">
        <v>55</v>
      </c>
      <c r="I908" t="s">
        <v>79</v>
      </c>
      <c r="J908" t="s">
        <v>65</v>
      </c>
      <c r="K908" t="s">
        <v>66</v>
      </c>
      <c r="L908">
        <v>3</v>
      </c>
      <c r="M908">
        <v>30</v>
      </c>
      <c r="N908" t="s">
        <v>59</v>
      </c>
      <c r="O908">
        <v>11</v>
      </c>
    </row>
    <row r="909" spans="1:15">
      <c r="A909" s="4">
        <v>45778</v>
      </c>
      <c r="B909" t="s">
        <v>51</v>
      </c>
      <c r="C909" t="s">
        <v>68</v>
      </c>
      <c r="D909">
        <v>1570</v>
      </c>
      <c r="E909" t="s">
        <v>62</v>
      </c>
      <c r="F909" t="s">
        <v>999</v>
      </c>
      <c r="G909" t="s">
        <v>45</v>
      </c>
      <c r="H909" t="s">
        <v>70</v>
      </c>
      <c r="I909" t="s">
        <v>92</v>
      </c>
      <c r="J909" t="s">
        <v>57</v>
      </c>
      <c r="K909" t="s">
        <v>66</v>
      </c>
      <c r="L909">
        <v>3</v>
      </c>
      <c r="M909">
        <v>30</v>
      </c>
      <c r="N909" t="s">
        <v>71</v>
      </c>
      <c r="O909">
        <v>15</v>
      </c>
    </row>
    <row r="910" spans="1:15">
      <c r="A910" s="4">
        <v>45823</v>
      </c>
      <c r="B910" t="s">
        <v>85</v>
      </c>
      <c r="C910" t="s">
        <v>68</v>
      </c>
      <c r="D910">
        <v>3930</v>
      </c>
      <c r="E910" t="s">
        <v>74</v>
      </c>
      <c r="F910" t="s">
        <v>1000</v>
      </c>
      <c r="G910" t="s">
        <v>46</v>
      </c>
      <c r="H910" t="s">
        <v>55</v>
      </c>
      <c r="I910" t="s">
        <v>64</v>
      </c>
      <c r="J910" t="s">
        <v>57</v>
      </c>
      <c r="K910" t="s">
        <v>58</v>
      </c>
      <c r="L910">
        <v>3</v>
      </c>
      <c r="M910">
        <v>45</v>
      </c>
      <c r="N910" t="s">
        <v>71</v>
      </c>
      <c r="O910">
        <v>13</v>
      </c>
    </row>
    <row r="911" spans="1:15">
      <c r="A911" s="4">
        <v>46018</v>
      </c>
      <c r="B911" t="s">
        <v>85</v>
      </c>
      <c r="C911" t="s">
        <v>77</v>
      </c>
      <c r="D911">
        <v>710</v>
      </c>
      <c r="E911" t="s">
        <v>53</v>
      </c>
      <c r="F911" t="s">
        <v>1001</v>
      </c>
      <c r="G911" t="s">
        <v>45</v>
      </c>
      <c r="H911" t="s">
        <v>55</v>
      </c>
      <c r="I911" t="s">
        <v>64</v>
      </c>
      <c r="J911" t="s">
        <v>57</v>
      </c>
      <c r="K911" t="s">
        <v>66</v>
      </c>
      <c r="L911">
        <v>1</v>
      </c>
      <c r="M911">
        <v>45</v>
      </c>
      <c r="N911" t="s">
        <v>71</v>
      </c>
      <c r="O911">
        <v>6</v>
      </c>
    </row>
    <row r="912" spans="1:15">
      <c r="A912" s="4">
        <v>45884</v>
      </c>
      <c r="B912" t="s">
        <v>80</v>
      </c>
      <c r="C912" t="s">
        <v>95</v>
      </c>
      <c r="D912">
        <v>2580</v>
      </c>
      <c r="E912" t="s">
        <v>53</v>
      </c>
      <c r="F912" t="s">
        <v>1002</v>
      </c>
      <c r="G912" t="s">
        <v>45</v>
      </c>
      <c r="H912" t="s">
        <v>70</v>
      </c>
      <c r="I912" t="s">
        <v>79</v>
      </c>
      <c r="J912" t="s">
        <v>57</v>
      </c>
      <c r="K912" t="s">
        <v>76</v>
      </c>
      <c r="L912">
        <v>5</v>
      </c>
      <c r="M912">
        <v>90</v>
      </c>
      <c r="N912" t="s">
        <v>59</v>
      </c>
      <c r="O912">
        <v>9</v>
      </c>
    </row>
    <row r="913" spans="1:15">
      <c r="A913" s="4">
        <v>45670</v>
      </c>
      <c r="B913" t="s">
        <v>90</v>
      </c>
      <c r="C913" t="s">
        <v>61</v>
      </c>
      <c r="D913">
        <v>410</v>
      </c>
      <c r="E913" t="s">
        <v>53</v>
      </c>
      <c r="F913" t="s">
        <v>1003</v>
      </c>
      <c r="G913" t="s">
        <v>46</v>
      </c>
      <c r="H913" t="s">
        <v>55</v>
      </c>
      <c r="I913" t="s">
        <v>56</v>
      </c>
      <c r="J913" t="s">
        <v>65</v>
      </c>
      <c r="K913" t="s">
        <v>76</v>
      </c>
      <c r="L913">
        <v>3</v>
      </c>
      <c r="M913">
        <v>60</v>
      </c>
      <c r="N913" t="s">
        <v>71</v>
      </c>
      <c r="O913">
        <v>6</v>
      </c>
    </row>
    <row r="914" spans="1:15">
      <c r="A914" s="4">
        <v>45775</v>
      </c>
      <c r="B914" t="s">
        <v>90</v>
      </c>
      <c r="C914" t="s">
        <v>86</v>
      </c>
      <c r="D914">
        <v>580</v>
      </c>
      <c r="E914" t="s">
        <v>74</v>
      </c>
      <c r="F914" t="s">
        <v>1004</v>
      </c>
      <c r="G914" t="s">
        <v>45</v>
      </c>
      <c r="H914" t="s">
        <v>70</v>
      </c>
      <c r="I914" t="s">
        <v>79</v>
      </c>
      <c r="J914" t="s">
        <v>65</v>
      </c>
      <c r="K914" t="s">
        <v>76</v>
      </c>
      <c r="L914">
        <v>3</v>
      </c>
      <c r="M914">
        <v>90</v>
      </c>
      <c r="N914" t="s">
        <v>93</v>
      </c>
      <c r="O914">
        <v>19</v>
      </c>
    </row>
    <row r="915" spans="1:15">
      <c r="A915" s="4">
        <v>45957</v>
      </c>
      <c r="B915" t="s">
        <v>60</v>
      </c>
      <c r="C915" t="s">
        <v>73</v>
      </c>
      <c r="D915">
        <v>190</v>
      </c>
      <c r="E915" t="s">
        <v>53</v>
      </c>
      <c r="F915" t="s">
        <v>1005</v>
      </c>
      <c r="G915" t="s">
        <v>45</v>
      </c>
      <c r="H915" t="s">
        <v>70</v>
      </c>
      <c r="I915" t="s">
        <v>64</v>
      </c>
      <c r="J915" t="s">
        <v>65</v>
      </c>
      <c r="K915" t="s">
        <v>76</v>
      </c>
      <c r="L915">
        <v>5</v>
      </c>
      <c r="M915">
        <v>60</v>
      </c>
      <c r="N915" t="s">
        <v>59</v>
      </c>
      <c r="O915">
        <v>8</v>
      </c>
    </row>
    <row r="916" spans="1:15">
      <c r="A916" s="4">
        <v>45893</v>
      </c>
      <c r="B916" t="s">
        <v>51</v>
      </c>
      <c r="C916" t="s">
        <v>95</v>
      </c>
      <c r="D916">
        <v>180</v>
      </c>
      <c r="E916" t="s">
        <v>53</v>
      </c>
      <c r="F916" t="s">
        <v>1006</v>
      </c>
      <c r="G916" t="s">
        <v>46</v>
      </c>
      <c r="H916" t="s">
        <v>55</v>
      </c>
      <c r="I916" t="s">
        <v>79</v>
      </c>
      <c r="J916" t="s">
        <v>57</v>
      </c>
      <c r="K916" t="s">
        <v>76</v>
      </c>
      <c r="L916">
        <v>2</v>
      </c>
      <c r="M916">
        <v>30</v>
      </c>
      <c r="N916" t="s">
        <v>59</v>
      </c>
      <c r="O916">
        <v>10</v>
      </c>
    </row>
    <row r="917" spans="1:15">
      <c r="A917" s="4">
        <v>45742</v>
      </c>
      <c r="B917" t="s">
        <v>109</v>
      </c>
      <c r="C917" t="s">
        <v>61</v>
      </c>
      <c r="D917">
        <v>970</v>
      </c>
      <c r="E917" t="s">
        <v>53</v>
      </c>
      <c r="F917" t="s">
        <v>1007</v>
      </c>
      <c r="G917" t="s">
        <v>45</v>
      </c>
      <c r="H917" t="s">
        <v>55</v>
      </c>
      <c r="I917" t="s">
        <v>92</v>
      </c>
      <c r="J917" t="s">
        <v>57</v>
      </c>
      <c r="K917" t="s">
        <v>76</v>
      </c>
      <c r="L917">
        <v>2</v>
      </c>
      <c r="M917">
        <v>45</v>
      </c>
      <c r="N917" t="s">
        <v>59</v>
      </c>
      <c r="O917">
        <v>20</v>
      </c>
    </row>
    <row r="918" spans="1:15">
      <c r="A918" s="4">
        <v>45660</v>
      </c>
      <c r="B918" t="s">
        <v>85</v>
      </c>
      <c r="C918" t="s">
        <v>81</v>
      </c>
      <c r="D918">
        <v>2270</v>
      </c>
      <c r="E918" t="s">
        <v>62</v>
      </c>
      <c r="F918" t="s">
        <v>1008</v>
      </c>
      <c r="G918" t="s">
        <v>46</v>
      </c>
      <c r="H918" t="s">
        <v>70</v>
      </c>
      <c r="I918" t="s">
        <v>88</v>
      </c>
      <c r="J918" t="s">
        <v>65</v>
      </c>
      <c r="K918" t="s">
        <v>58</v>
      </c>
      <c r="L918">
        <v>4</v>
      </c>
      <c r="M918">
        <v>45</v>
      </c>
      <c r="N918" t="s">
        <v>71</v>
      </c>
      <c r="O918">
        <v>7</v>
      </c>
    </row>
    <row r="919" spans="1:15">
      <c r="A919" s="4">
        <v>45843</v>
      </c>
      <c r="B919" t="s">
        <v>60</v>
      </c>
      <c r="C919" t="s">
        <v>81</v>
      </c>
      <c r="D919">
        <v>2550</v>
      </c>
      <c r="E919" t="s">
        <v>62</v>
      </c>
      <c r="F919" t="s">
        <v>1009</v>
      </c>
      <c r="G919" t="s">
        <v>46</v>
      </c>
      <c r="H919" t="s">
        <v>70</v>
      </c>
      <c r="I919" t="s">
        <v>88</v>
      </c>
      <c r="J919" t="s">
        <v>57</v>
      </c>
      <c r="K919" t="s">
        <v>58</v>
      </c>
      <c r="L919">
        <v>4</v>
      </c>
      <c r="M919">
        <v>60</v>
      </c>
      <c r="N919" t="s">
        <v>93</v>
      </c>
      <c r="O919">
        <v>7</v>
      </c>
    </row>
    <row r="920" spans="1:15">
      <c r="A920" s="4">
        <v>45861</v>
      </c>
      <c r="B920" t="s">
        <v>60</v>
      </c>
      <c r="C920" t="s">
        <v>114</v>
      </c>
      <c r="D920">
        <v>2520</v>
      </c>
      <c r="E920" t="s">
        <v>53</v>
      </c>
      <c r="F920" t="s">
        <v>1010</v>
      </c>
      <c r="G920" t="s">
        <v>45</v>
      </c>
      <c r="H920" t="s">
        <v>55</v>
      </c>
      <c r="I920" t="s">
        <v>88</v>
      </c>
      <c r="J920" t="s">
        <v>57</v>
      </c>
      <c r="K920" t="s">
        <v>76</v>
      </c>
      <c r="L920">
        <v>2</v>
      </c>
      <c r="M920">
        <v>30</v>
      </c>
      <c r="N920" t="s">
        <v>71</v>
      </c>
      <c r="O920">
        <v>12</v>
      </c>
    </row>
    <row r="921" spans="1:15">
      <c r="A921" s="4">
        <v>45952</v>
      </c>
      <c r="B921" t="s">
        <v>67</v>
      </c>
      <c r="C921" t="s">
        <v>114</v>
      </c>
      <c r="D921">
        <v>3060</v>
      </c>
      <c r="E921" t="s">
        <v>62</v>
      </c>
      <c r="F921" t="s">
        <v>1011</v>
      </c>
      <c r="G921" t="s">
        <v>46</v>
      </c>
      <c r="H921" t="s">
        <v>70</v>
      </c>
      <c r="I921" t="s">
        <v>79</v>
      </c>
      <c r="J921" t="s">
        <v>65</v>
      </c>
      <c r="K921" t="s">
        <v>76</v>
      </c>
      <c r="L921">
        <v>1</v>
      </c>
      <c r="M921">
        <v>30</v>
      </c>
      <c r="N921" t="s">
        <v>59</v>
      </c>
      <c r="O921">
        <v>12</v>
      </c>
    </row>
    <row r="922" spans="1:15">
      <c r="A922" s="4">
        <v>45764</v>
      </c>
      <c r="B922" t="s">
        <v>94</v>
      </c>
      <c r="C922" t="s">
        <v>81</v>
      </c>
      <c r="D922">
        <v>960</v>
      </c>
      <c r="E922" t="s">
        <v>62</v>
      </c>
      <c r="F922" t="s">
        <v>1012</v>
      </c>
      <c r="G922" t="s">
        <v>46</v>
      </c>
      <c r="H922" t="s">
        <v>70</v>
      </c>
      <c r="I922" t="s">
        <v>84</v>
      </c>
      <c r="J922" t="s">
        <v>57</v>
      </c>
      <c r="K922" t="s">
        <v>58</v>
      </c>
      <c r="L922">
        <v>4</v>
      </c>
      <c r="M922">
        <v>60</v>
      </c>
      <c r="N922" t="s">
        <v>93</v>
      </c>
      <c r="O922">
        <v>16</v>
      </c>
    </row>
    <row r="923" spans="1:15">
      <c r="A923" s="4">
        <v>45842</v>
      </c>
      <c r="B923" t="s">
        <v>51</v>
      </c>
      <c r="C923" t="s">
        <v>77</v>
      </c>
      <c r="D923">
        <v>300</v>
      </c>
      <c r="E923" t="s">
        <v>74</v>
      </c>
      <c r="F923" t="s">
        <v>1013</v>
      </c>
      <c r="G923" t="s">
        <v>45</v>
      </c>
      <c r="H923" t="s">
        <v>70</v>
      </c>
      <c r="I923" t="s">
        <v>56</v>
      </c>
      <c r="J923" t="s">
        <v>65</v>
      </c>
      <c r="K923" t="s">
        <v>58</v>
      </c>
      <c r="L923">
        <v>3</v>
      </c>
      <c r="M923">
        <v>30</v>
      </c>
      <c r="N923" t="s">
        <v>59</v>
      </c>
      <c r="O923">
        <v>16</v>
      </c>
    </row>
    <row r="924" spans="1:15">
      <c r="A924" s="4">
        <v>45769</v>
      </c>
      <c r="B924" t="s">
        <v>109</v>
      </c>
      <c r="C924" t="s">
        <v>61</v>
      </c>
      <c r="D924">
        <v>4720</v>
      </c>
      <c r="E924" t="s">
        <v>74</v>
      </c>
      <c r="F924" t="s">
        <v>1014</v>
      </c>
      <c r="G924" t="s">
        <v>45</v>
      </c>
      <c r="H924" t="s">
        <v>55</v>
      </c>
      <c r="I924" t="s">
        <v>79</v>
      </c>
      <c r="J924" t="s">
        <v>65</v>
      </c>
      <c r="K924" t="s">
        <v>66</v>
      </c>
      <c r="L924">
        <v>2</v>
      </c>
      <c r="M924">
        <v>45</v>
      </c>
      <c r="N924" t="s">
        <v>93</v>
      </c>
      <c r="O924">
        <v>8</v>
      </c>
    </row>
    <row r="925" spans="1:15">
      <c r="A925" s="4">
        <v>45736</v>
      </c>
      <c r="B925" t="s">
        <v>60</v>
      </c>
      <c r="C925" t="s">
        <v>81</v>
      </c>
      <c r="D925">
        <v>2370</v>
      </c>
      <c r="E925" t="s">
        <v>74</v>
      </c>
      <c r="F925" t="s">
        <v>1015</v>
      </c>
      <c r="G925" t="s">
        <v>46</v>
      </c>
      <c r="H925" t="s">
        <v>55</v>
      </c>
      <c r="I925" t="s">
        <v>79</v>
      </c>
      <c r="J925" t="s">
        <v>65</v>
      </c>
      <c r="K925" t="s">
        <v>66</v>
      </c>
      <c r="L925">
        <v>3</v>
      </c>
      <c r="M925">
        <v>60</v>
      </c>
      <c r="N925" t="s">
        <v>93</v>
      </c>
      <c r="O925">
        <v>16</v>
      </c>
    </row>
    <row r="926" spans="1:15">
      <c r="A926" s="4">
        <v>45922</v>
      </c>
      <c r="B926" t="s">
        <v>80</v>
      </c>
      <c r="C926" t="s">
        <v>68</v>
      </c>
      <c r="D926">
        <v>1120</v>
      </c>
      <c r="E926" t="s">
        <v>53</v>
      </c>
      <c r="F926" t="s">
        <v>1016</v>
      </c>
      <c r="G926" t="s">
        <v>46</v>
      </c>
      <c r="H926" t="s">
        <v>55</v>
      </c>
      <c r="I926" t="s">
        <v>84</v>
      </c>
      <c r="J926" t="s">
        <v>57</v>
      </c>
      <c r="K926" t="s">
        <v>66</v>
      </c>
      <c r="L926">
        <v>2</v>
      </c>
      <c r="M926">
        <v>60</v>
      </c>
      <c r="N926" t="s">
        <v>59</v>
      </c>
      <c r="O926">
        <v>11</v>
      </c>
    </row>
    <row r="927" spans="1:15">
      <c r="A927" s="4">
        <v>45786</v>
      </c>
      <c r="B927" t="s">
        <v>60</v>
      </c>
      <c r="C927" t="s">
        <v>98</v>
      </c>
      <c r="D927">
        <v>240</v>
      </c>
      <c r="E927" t="s">
        <v>62</v>
      </c>
      <c r="F927" t="s">
        <v>1017</v>
      </c>
      <c r="G927" t="s">
        <v>46</v>
      </c>
      <c r="H927" t="s">
        <v>70</v>
      </c>
      <c r="I927" t="s">
        <v>84</v>
      </c>
      <c r="J927" t="s">
        <v>57</v>
      </c>
      <c r="K927" t="s">
        <v>58</v>
      </c>
      <c r="L927">
        <v>3</v>
      </c>
      <c r="M927">
        <v>60</v>
      </c>
      <c r="N927" t="s">
        <v>59</v>
      </c>
      <c r="O927">
        <v>18</v>
      </c>
    </row>
    <row r="928" spans="1:15">
      <c r="A928" s="4">
        <v>46014</v>
      </c>
      <c r="B928" t="s">
        <v>94</v>
      </c>
      <c r="C928" t="s">
        <v>61</v>
      </c>
      <c r="D928">
        <v>4300</v>
      </c>
      <c r="E928" t="s">
        <v>53</v>
      </c>
      <c r="F928" t="s">
        <v>1018</v>
      </c>
      <c r="G928" t="s">
        <v>46</v>
      </c>
      <c r="H928" t="s">
        <v>70</v>
      </c>
      <c r="I928" t="s">
        <v>88</v>
      </c>
      <c r="J928" t="s">
        <v>57</v>
      </c>
      <c r="K928" t="s">
        <v>66</v>
      </c>
      <c r="L928">
        <v>4</v>
      </c>
      <c r="M928">
        <v>45</v>
      </c>
      <c r="N928" t="s">
        <v>59</v>
      </c>
      <c r="O928">
        <v>12</v>
      </c>
    </row>
    <row r="929" spans="1:15">
      <c r="A929" s="4">
        <v>45980</v>
      </c>
      <c r="B929" t="s">
        <v>94</v>
      </c>
      <c r="C929" t="s">
        <v>114</v>
      </c>
      <c r="D929">
        <v>440</v>
      </c>
      <c r="E929" t="s">
        <v>62</v>
      </c>
      <c r="F929" t="s">
        <v>1019</v>
      </c>
      <c r="G929" t="s">
        <v>45</v>
      </c>
      <c r="H929" t="s">
        <v>70</v>
      </c>
      <c r="I929" t="s">
        <v>92</v>
      </c>
      <c r="J929" t="s">
        <v>57</v>
      </c>
      <c r="K929" t="s">
        <v>66</v>
      </c>
      <c r="L929">
        <v>5</v>
      </c>
      <c r="M929">
        <v>60</v>
      </c>
      <c r="N929" t="s">
        <v>59</v>
      </c>
      <c r="O929">
        <v>20</v>
      </c>
    </row>
    <row r="930" spans="1:15">
      <c r="A930" s="4">
        <v>45837</v>
      </c>
      <c r="B930" t="s">
        <v>51</v>
      </c>
      <c r="C930" t="s">
        <v>73</v>
      </c>
      <c r="D930">
        <v>3440</v>
      </c>
      <c r="E930" t="s">
        <v>74</v>
      </c>
      <c r="F930" t="s">
        <v>1020</v>
      </c>
      <c r="G930" t="s">
        <v>46</v>
      </c>
      <c r="H930" t="s">
        <v>70</v>
      </c>
      <c r="I930" t="s">
        <v>88</v>
      </c>
      <c r="J930" t="s">
        <v>65</v>
      </c>
      <c r="K930" t="s">
        <v>76</v>
      </c>
      <c r="L930">
        <v>4</v>
      </c>
      <c r="M930">
        <v>30</v>
      </c>
      <c r="N930" t="s">
        <v>71</v>
      </c>
      <c r="O930">
        <v>7</v>
      </c>
    </row>
    <row r="931" spans="1:15">
      <c r="A931" s="4">
        <v>45722</v>
      </c>
      <c r="B931" t="s">
        <v>72</v>
      </c>
      <c r="C931" t="s">
        <v>81</v>
      </c>
      <c r="D931">
        <v>3320</v>
      </c>
      <c r="E931" t="s">
        <v>74</v>
      </c>
      <c r="F931" t="s">
        <v>1021</v>
      </c>
      <c r="G931" t="s">
        <v>45</v>
      </c>
      <c r="H931" t="s">
        <v>55</v>
      </c>
      <c r="I931" t="s">
        <v>56</v>
      </c>
      <c r="J931" t="s">
        <v>65</v>
      </c>
      <c r="K931" t="s">
        <v>76</v>
      </c>
      <c r="L931">
        <v>1</v>
      </c>
      <c r="M931">
        <v>30</v>
      </c>
      <c r="N931" t="s">
        <v>59</v>
      </c>
      <c r="O931">
        <v>4</v>
      </c>
    </row>
    <row r="932" spans="1:15">
      <c r="A932" s="4">
        <v>45806</v>
      </c>
      <c r="B932" t="s">
        <v>90</v>
      </c>
      <c r="C932" t="s">
        <v>77</v>
      </c>
      <c r="D932">
        <v>2640</v>
      </c>
      <c r="E932" t="s">
        <v>74</v>
      </c>
      <c r="F932" t="s">
        <v>1022</v>
      </c>
      <c r="G932" t="s">
        <v>45</v>
      </c>
      <c r="H932" t="s">
        <v>55</v>
      </c>
      <c r="I932" t="s">
        <v>88</v>
      </c>
      <c r="J932" t="s">
        <v>65</v>
      </c>
      <c r="K932" t="s">
        <v>66</v>
      </c>
      <c r="L932">
        <v>4</v>
      </c>
      <c r="M932">
        <v>90</v>
      </c>
      <c r="N932" t="s">
        <v>71</v>
      </c>
      <c r="O932">
        <v>14</v>
      </c>
    </row>
    <row r="933" spans="1:15">
      <c r="A933" s="4">
        <v>45719</v>
      </c>
      <c r="B933" t="s">
        <v>109</v>
      </c>
      <c r="C933" t="s">
        <v>77</v>
      </c>
      <c r="D933">
        <v>3440</v>
      </c>
      <c r="E933" t="s">
        <v>62</v>
      </c>
      <c r="F933" t="s">
        <v>1023</v>
      </c>
      <c r="G933" t="s">
        <v>46</v>
      </c>
      <c r="H933" t="s">
        <v>55</v>
      </c>
      <c r="I933" t="s">
        <v>88</v>
      </c>
      <c r="J933" t="s">
        <v>57</v>
      </c>
      <c r="K933" t="s">
        <v>58</v>
      </c>
      <c r="L933">
        <v>2</v>
      </c>
      <c r="M933">
        <v>30</v>
      </c>
      <c r="N933" t="s">
        <v>71</v>
      </c>
      <c r="O933">
        <v>19</v>
      </c>
    </row>
    <row r="934" spans="1:15">
      <c r="A934" s="4">
        <v>45782</v>
      </c>
      <c r="B934" t="s">
        <v>116</v>
      </c>
      <c r="C934" t="s">
        <v>52</v>
      </c>
      <c r="D934">
        <v>3860</v>
      </c>
      <c r="E934" t="s">
        <v>62</v>
      </c>
      <c r="F934" t="s">
        <v>1024</v>
      </c>
      <c r="G934" t="s">
        <v>45</v>
      </c>
      <c r="H934" t="s">
        <v>70</v>
      </c>
      <c r="I934" t="s">
        <v>84</v>
      </c>
      <c r="J934" t="s">
        <v>65</v>
      </c>
      <c r="K934" t="s">
        <v>76</v>
      </c>
      <c r="L934">
        <v>3</v>
      </c>
      <c r="M934">
        <v>90</v>
      </c>
      <c r="N934" t="s">
        <v>93</v>
      </c>
      <c r="O934">
        <v>19</v>
      </c>
    </row>
    <row r="935" spans="1:15">
      <c r="A935" s="4">
        <v>45928</v>
      </c>
      <c r="B935" t="s">
        <v>101</v>
      </c>
      <c r="C935" t="s">
        <v>77</v>
      </c>
      <c r="D935">
        <v>320</v>
      </c>
      <c r="E935" t="s">
        <v>53</v>
      </c>
      <c r="F935" t="s">
        <v>1025</v>
      </c>
      <c r="G935" t="s">
        <v>46</v>
      </c>
      <c r="H935" t="s">
        <v>55</v>
      </c>
      <c r="I935" t="s">
        <v>92</v>
      </c>
      <c r="J935" t="s">
        <v>65</v>
      </c>
      <c r="K935" t="s">
        <v>76</v>
      </c>
      <c r="L935">
        <v>3</v>
      </c>
      <c r="M935">
        <v>45</v>
      </c>
      <c r="N935" t="s">
        <v>59</v>
      </c>
      <c r="O935">
        <v>19</v>
      </c>
    </row>
    <row r="936" spans="1:15">
      <c r="A936" s="4">
        <v>45672</v>
      </c>
      <c r="B936" t="s">
        <v>72</v>
      </c>
      <c r="C936" t="s">
        <v>77</v>
      </c>
      <c r="D936">
        <v>1500</v>
      </c>
      <c r="E936" t="s">
        <v>53</v>
      </c>
      <c r="F936" t="s">
        <v>1026</v>
      </c>
      <c r="G936" t="s">
        <v>46</v>
      </c>
      <c r="H936" t="s">
        <v>70</v>
      </c>
      <c r="I936" t="s">
        <v>56</v>
      </c>
      <c r="J936" t="s">
        <v>57</v>
      </c>
      <c r="K936" t="s">
        <v>76</v>
      </c>
      <c r="L936">
        <v>1</v>
      </c>
      <c r="M936">
        <v>60</v>
      </c>
      <c r="N936" t="s">
        <v>71</v>
      </c>
      <c r="O936">
        <v>5</v>
      </c>
    </row>
    <row r="937" spans="1:15">
      <c r="A937" s="4">
        <v>45795</v>
      </c>
      <c r="B937" t="s">
        <v>72</v>
      </c>
      <c r="C937" t="s">
        <v>68</v>
      </c>
      <c r="D937">
        <v>610</v>
      </c>
      <c r="E937" t="s">
        <v>74</v>
      </c>
      <c r="F937" t="s">
        <v>1027</v>
      </c>
      <c r="G937" t="s">
        <v>46</v>
      </c>
      <c r="H937" t="s">
        <v>70</v>
      </c>
      <c r="I937" t="s">
        <v>79</v>
      </c>
      <c r="J937" t="s">
        <v>57</v>
      </c>
      <c r="K937" t="s">
        <v>58</v>
      </c>
      <c r="L937">
        <v>1</v>
      </c>
      <c r="M937">
        <v>45</v>
      </c>
      <c r="N937" t="s">
        <v>71</v>
      </c>
      <c r="O937">
        <v>16</v>
      </c>
    </row>
    <row r="938" spans="1:15">
      <c r="A938" s="4">
        <v>45893</v>
      </c>
      <c r="B938" t="s">
        <v>90</v>
      </c>
      <c r="C938" t="s">
        <v>114</v>
      </c>
      <c r="D938">
        <v>1790</v>
      </c>
      <c r="E938" t="s">
        <v>74</v>
      </c>
      <c r="F938" t="s">
        <v>1028</v>
      </c>
      <c r="G938" t="s">
        <v>46</v>
      </c>
      <c r="H938" t="s">
        <v>70</v>
      </c>
      <c r="I938" t="s">
        <v>64</v>
      </c>
      <c r="J938" t="s">
        <v>57</v>
      </c>
      <c r="K938" t="s">
        <v>58</v>
      </c>
      <c r="L938">
        <v>3</v>
      </c>
      <c r="M938">
        <v>30</v>
      </c>
      <c r="N938" t="s">
        <v>71</v>
      </c>
      <c r="O938">
        <v>10</v>
      </c>
    </row>
    <row r="939" spans="1:15">
      <c r="A939" s="4">
        <v>45767</v>
      </c>
      <c r="B939" t="s">
        <v>72</v>
      </c>
      <c r="C939" t="s">
        <v>95</v>
      </c>
      <c r="D939">
        <v>500</v>
      </c>
      <c r="E939" t="s">
        <v>62</v>
      </c>
      <c r="F939" t="s">
        <v>1029</v>
      </c>
      <c r="G939" t="s">
        <v>46</v>
      </c>
      <c r="H939" t="s">
        <v>70</v>
      </c>
      <c r="I939" t="s">
        <v>92</v>
      </c>
      <c r="J939" t="s">
        <v>57</v>
      </c>
      <c r="K939" t="s">
        <v>76</v>
      </c>
      <c r="L939">
        <v>4</v>
      </c>
      <c r="M939">
        <v>45</v>
      </c>
      <c r="N939" t="s">
        <v>93</v>
      </c>
      <c r="O939">
        <v>12</v>
      </c>
    </row>
    <row r="940" spans="1:15">
      <c r="A940" s="4">
        <v>45963</v>
      </c>
      <c r="B940" t="s">
        <v>94</v>
      </c>
      <c r="C940" t="s">
        <v>61</v>
      </c>
      <c r="D940">
        <v>3490</v>
      </c>
      <c r="E940" t="s">
        <v>74</v>
      </c>
      <c r="F940" t="s">
        <v>1030</v>
      </c>
      <c r="G940" t="s">
        <v>46</v>
      </c>
      <c r="H940" t="s">
        <v>55</v>
      </c>
      <c r="I940" t="s">
        <v>84</v>
      </c>
      <c r="J940" t="s">
        <v>65</v>
      </c>
      <c r="K940" t="s">
        <v>66</v>
      </c>
      <c r="L940">
        <v>3</v>
      </c>
      <c r="M940">
        <v>90</v>
      </c>
      <c r="N940" t="s">
        <v>93</v>
      </c>
      <c r="O940">
        <v>7</v>
      </c>
    </row>
    <row r="941" spans="1:15">
      <c r="A941" s="4">
        <v>45742</v>
      </c>
      <c r="B941" t="s">
        <v>97</v>
      </c>
      <c r="C941" t="s">
        <v>73</v>
      </c>
      <c r="D941">
        <v>1230</v>
      </c>
      <c r="E941" t="s">
        <v>74</v>
      </c>
      <c r="F941" t="s">
        <v>1031</v>
      </c>
      <c r="G941" t="s">
        <v>46</v>
      </c>
      <c r="H941" t="s">
        <v>55</v>
      </c>
      <c r="I941" t="s">
        <v>64</v>
      </c>
      <c r="J941" t="s">
        <v>65</v>
      </c>
      <c r="K941" t="s">
        <v>76</v>
      </c>
      <c r="L941">
        <v>5</v>
      </c>
      <c r="M941">
        <v>30</v>
      </c>
      <c r="N941" t="s">
        <v>71</v>
      </c>
      <c r="O941">
        <v>17</v>
      </c>
    </row>
    <row r="942" spans="1:15">
      <c r="A942" s="4">
        <v>46008</v>
      </c>
      <c r="B942" t="s">
        <v>80</v>
      </c>
      <c r="C942" t="s">
        <v>68</v>
      </c>
      <c r="D942">
        <v>2620</v>
      </c>
      <c r="E942" t="s">
        <v>62</v>
      </c>
      <c r="F942" t="s">
        <v>1032</v>
      </c>
      <c r="G942" t="s">
        <v>45</v>
      </c>
      <c r="H942" t="s">
        <v>55</v>
      </c>
      <c r="I942" t="s">
        <v>92</v>
      </c>
      <c r="J942" t="s">
        <v>65</v>
      </c>
      <c r="K942" t="s">
        <v>66</v>
      </c>
      <c r="L942">
        <v>2</v>
      </c>
      <c r="M942">
        <v>60</v>
      </c>
      <c r="N942" t="s">
        <v>59</v>
      </c>
      <c r="O942">
        <v>7</v>
      </c>
    </row>
    <row r="943" spans="1:15">
      <c r="A943" s="4">
        <v>45935</v>
      </c>
      <c r="B943" t="s">
        <v>80</v>
      </c>
      <c r="C943" t="s">
        <v>86</v>
      </c>
      <c r="D943">
        <v>900</v>
      </c>
      <c r="E943" t="s">
        <v>74</v>
      </c>
      <c r="F943" t="s">
        <v>1033</v>
      </c>
      <c r="G943" t="s">
        <v>46</v>
      </c>
      <c r="H943" t="s">
        <v>70</v>
      </c>
      <c r="I943" t="s">
        <v>84</v>
      </c>
      <c r="J943" t="s">
        <v>57</v>
      </c>
      <c r="K943" t="s">
        <v>76</v>
      </c>
      <c r="L943">
        <v>4</v>
      </c>
      <c r="M943">
        <v>60</v>
      </c>
      <c r="N943" t="s">
        <v>93</v>
      </c>
      <c r="O943">
        <v>15</v>
      </c>
    </row>
    <row r="944" spans="1:15">
      <c r="A944" s="4">
        <v>45695</v>
      </c>
      <c r="B944" t="s">
        <v>85</v>
      </c>
      <c r="C944" t="s">
        <v>61</v>
      </c>
      <c r="D944">
        <v>4360</v>
      </c>
      <c r="E944" t="s">
        <v>74</v>
      </c>
      <c r="F944" t="s">
        <v>1034</v>
      </c>
      <c r="G944" t="s">
        <v>46</v>
      </c>
      <c r="H944" t="s">
        <v>70</v>
      </c>
      <c r="I944" t="s">
        <v>92</v>
      </c>
      <c r="J944" t="s">
        <v>65</v>
      </c>
      <c r="K944" t="s">
        <v>76</v>
      </c>
      <c r="L944">
        <v>4</v>
      </c>
      <c r="M944">
        <v>60</v>
      </c>
      <c r="N944" t="s">
        <v>59</v>
      </c>
      <c r="O944">
        <v>18</v>
      </c>
    </row>
    <row r="945" spans="1:15">
      <c r="A945" s="4">
        <v>45750</v>
      </c>
      <c r="B945" t="s">
        <v>94</v>
      </c>
      <c r="C945" t="s">
        <v>77</v>
      </c>
      <c r="D945">
        <v>4560</v>
      </c>
      <c r="E945" t="s">
        <v>62</v>
      </c>
      <c r="F945" t="s">
        <v>1035</v>
      </c>
      <c r="G945" t="s">
        <v>45</v>
      </c>
      <c r="H945" t="s">
        <v>70</v>
      </c>
      <c r="I945" t="s">
        <v>64</v>
      </c>
      <c r="J945" t="s">
        <v>65</v>
      </c>
      <c r="K945" t="s">
        <v>76</v>
      </c>
      <c r="L945">
        <v>2</v>
      </c>
      <c r="M945">
        <v>90</v>
      </c>
      <c r="N945" t="s">
        <v>71</v>
      </c>
      <c r="O945">
        <v>17</v>
      </c>
    </row>
    <row r="946" spans="1:15">
      <c r="A946" s="4">
        <v>45873</v>
      </c>
      <c r="B946" t="s">
        <v>97</v>
      </c>
      <c r="C946" t="s">
        <v>77</v>
      </c>
      <c r="D946">
        <v>1630</v>
      </c>
      <c r="E946" t="s">
        <v>62</v>
      </c>
      <c r="F946" t="s">
        <v>1036</v>
      </c>
      <c r="G946" t="s">
        <v>45</v>
      </c>
      <c r="H946" t="s">
        <v>70</v>
      </c>
      <c r="I946" t="s">
        <v>79</v>
      </c>
      <c r="J946" t="s">
        <v>57</v>
      </c>
      <c r="K946" t="s">
        <v>58</v>
      </c>
      <c r="L946">
        <v>3</v>
      </c>
      <c r="M946">
        <v>30</v>
      </c>
      <c r="N946" t="s">
        <v>93</v>
      </c>
      <c r="O946">
        <v>19</v>
      </c>
    </row>
    <row r="947" spans="1:15">
      <c r="A947" s="4">
        <v>45718</v>
      </c>
      <c r="B947" t="s">
        <v>67</v>
      </c>
      <c r="C947" t="s">
        <v>81</v>
      </c>
      <c r="D947">
        <v>3130</v>
      </c>
      <c r="E947" t="s">
        <v>53</v>
      </c>
      <c r="F947" t="s">
        <v>1037</v>
      </c>
      <c r="G947" t="s">
        <v>45</v>
      </c>
      <c r="H947" t="s">
        <v>70</v>
      </c>
      <c r="I947" t="s">
        <v>84</v>
      </c>
      <c r="J947" t="s">
        <v>57</v>
      </c>
      <c r="K947" t="s">
        <v>58</v>
      </c>
      <c r="L947">
        <v>2</v>
      </c>
      <c r="M947">
        <v>30</v>
      </c>
      <c r="N947" t="s">
        <v>59</v>
      </c>
      <c r="O947">
        <v>7</v>
      </c>
    </row>
    <row r="948" spans="1:15">
      <c r="A948" s="4">
        <v>45867</v>
      </c>
      <c r="B948" t="s">
        <v>116</v>
      </c>
      <c r="C948" t="s">
        <v>81</v>
      </c>
      <c r="D948">
        <v>2250</v>
      </c>
      <c r="E948" t="s">
        <v>74</v>
      </c>
      <c r="F948" t="s">
        <v>1038</v>
      </c>
      <c r="G948" t="s">
        <v>46</v>
      </c>
      <c r="H948" t="s">
        <v>70</v>
      </c>
      <c r="I948" t="s">
        <v>84</v>
      </c>
      <c r="J948" t="s">
        <v>65</v>
      </c>
      <c r="K948" t="s">
        <v>76</v>
      </c>
      <c r="L948">
        <v>2</v>
      </c>
      <c r="M948">
        <v>45</v>
      </c>
      <c r="N948" t="s">
        <v>59</v>
      </c>
      <c r="O948">
        <v>6</v>
      </c>
    </row>
    <row r="949" spans="1:15">
      <c r="A949" s="4">
        <v>45677</v>
      </c>
      <c r="B949" t="s">
        <v>51</v>
      </c>
      <c r="C949" t="s">
        <v>98</v>
      </c>
      <c r="D949">
        <v>3560</v>
      </c>
      <c r="E949" t="s">
        <v>53</v>
      </c>
      <c r="F949" t="s">
        <v>1039</v>
      </c>
      <c r="G949" t="s">
        <v>46</v>
      </c>
      <c r="H949" t="s">
        <v>70</v>
      </c>
      <c r="I949" t="s">
        <v>84</v>
      </c>
      <c r="J949" t="s">
        <v>65</v>
      </c>
      <c r="K949" t="s">
        <v>58</v>
      </c>
      <c r="L949">
        <v>1</v>
      </c>
      <c r="M949">
        <v>30</v>
      </c>
      <c r="N949" t="s">
        <v>59</v>
      </c>
      <c r="O949">
        <v>20</v>
      </c>
    </row>
    <row r="950" spans="1:15">
      <c r="A950" s="4">
        <v>45748</v>
      </c>
      <c r="B950" t="s">
        <v>72</v>
      </c>
      <c r="C950" t="s">
        <v>77</v>
      </c>
      <c r="D950">
        <v>1870</v>
      </c>
      <c r="E950" t="s">
        <v>62</v>
      </c>
      <c r="F950" t="s">
        <v>1040</v>
      </c>
      <c r="G950" t="s">
        <v>46</v>
      </c>
      <c r="H950" t="s">
        <v>55</v>
      </c>
      <c r="I950" t="s">
        <v>92</v>
      </c>
      <c r="J950" t="s">
        <v>65</v>
      </c>
      <c r="K950" t="s">
        <v>76</v>
      </c>
      <c r="L950">
        <v>3</v>
      </c>
      <c r="M950">
        <v>90</v>
      </c>
      <c r="N950" t="s">
        <v>59</v>
      </c>
      <c r="O950">
        <v>7</v>
      </c>
    </row>
    <row r="951" spans="1:15">
      <c r="A951" s="4">
        <v>45913</v>
      </c>
      <c r="B951" t="s">
        <v>72</v>
      </c>
      <c r="C951" t="s">
        <v>61</v>
      </c>
      <c r="D951">
        <v>4760</v>
      </c>
      <c r="E951" t="s">
        <v>62</v>
      </c>
      <c r="F951" t="s">
        <v>1041</v>
      </c>
      <c r="G951" t="s">
        <v>45</v>
      </c>
      <c r="H951" t="s">
        <v>55</v>
      </c>
      <c r="I951" t="s">
        <v>79</v>
      </c>
      <c r="J951" t="s">
        <v>65</v>
      </c>
      <c r="K951" t="s">
        <v>66</v>
      </c>
      <c r="L951">
        <v>1</v>
      </c>
      <c r="M951">
        <v>60</v>
      </c>
      <c r="N951" t="s">
        <v>71</v>
      </c>
      <c r="O951">
        <v>11</v>
      </c>
    </row>
    <row r="952" spans="1:15">
      <c r="A952" s="4">
        <v>45920</v>
      </c>
      <c r="B952" t="s">
        <v>109</v>
      </c>
      <c r="C952" t="s">
        <v>95</v>
      </c>
      <c r="D952">
        <v>3680</v>
      </c>
      <c r="E952" t="s">
        <v>53</v>
      </c>
      <c r="F952" t="s">
        <v>1042</v>
      </c>
      <c r="G952" t="s">
        <v>45</v>
      </c>
      <c r="H952" t="s">
        <v>55</v>
      </c>
      <c r="I952" t="s">
        <v>92</v>
      </c>
      <c r="J952" t="s">
        <v>65</v>
      </c>
      <c r="K952" t="s">
        <v>58</v>
      </c>
      <c r="L952">
        <v>4</v>
      </c>
      <c r="M952">
        <v>45</v>
      </c>
      <c r="N952" t="s">
        <v>59</v>
      </c>
      <c r="O952">
        <v>19</v>
      </c>
    </row>
    <row r="953" spans="1:15">
      <c r="A953" s="4">
        <v>45819</v>
      </c>
      <c r="B953" t="s">
        <v>85</v>
      </c>
      <c r="C953" t="s">
        <v>73</v>
      </c>
      <c r="D953">
        <v>1760</v>
      </c>
      <c r="E953" t="s">
        <v>53</v>
      </c>
      <c r="F953" t="s">
        <v>1043</v>
      </c>
      <c r="G953" t="s">
        <v>46</v>
      </c>
      <c r="H953" t="s">
        <v>55</v>
      </c>
      <c r="I953" t="s">
        <v>56</v>
      </c>
      <c r="J953" t="s">
        <v>65</v>
      </c>
      <c r="K953" t="s">
        <v>66</v>
      </c>
      <c r="L953">
        <v>4</v>
      </c>
      <c r="M953">
        <v>90</v>
      </c>
      <c r="N953" t="s">
        <v>59</v>
      </c>
      <c r="O953">
        <v>4</v>
      </c>
    </row>
    <row r="954" spans="1:15">
      <c r="A954" s="4">
        <v>45943</v>
      </c>
      <c r="B954" t="s">
        <v>101</v>
      </c>
      <c r="C954" t="s">
        <v>73</v>
      </c>
      <c r="D954">
        <v>4340</v>
      </c>
      <c r="E954" t="s">
        <v>53</v>
      </c>
      <c r="F954" t="s">
        <v>1044</v>
      </c>
      <c r="G954" t="s">
        <v>46</v>
      </c>
      <c r="H954" t="s">
        <v>70</v>
      </c>
      <c r="I954" t="s">
        <v>92</v>
      </c>
      <c r="J954" t="s">
        <v>57</v>
      </c>
      <c r="K954" t="s">
        <v>66</v>
      </c>
      <c r="L954">
        <v>3</v>
      </c>
      <c r="M954">
        <v>45</v>
      </c>
      <c r="N954" t="s">
        <v>71</v>
      </c>
      <c r="O954">
        <v>3</v>
      </c>
    </row>
    <row r="955" spans="1:15">
      <c r="A955" s="4">
        <v>45719</v>
      </c>
      <c r="B955" t="s">
        <v>90</v>
      </c>
      <c r="C955" t="s">
        <v>114</v>
      </c>
      <c r="D955">
        <v>4650</v>
      </c>
      <c r="E955" t="s">
        <v>53</v>
      </c>
      <c r="F955" t="s">
        <v>1045</v>
      </c>
      <c r="G955" t="s">
        <v>45</v>
      </c>
      <c r="H955" t="s">
        <v>55</v>
      </c>
      <c r="I955" t="s">
        <v>92</v>
      </c>
      <c r="J955" t="s">
        <v>65</v>
      </c>
      <c r="K955" t="s">
        <v>58</v>
      </c>
      <c r="L955">
        <v>2</v>
      </c>
      <c r="M955">
        <v>45</v>
      </c>
      <c r="N955" t="s">
        <v>93</v>
      </c>
      <c r="O955">
        <v>8</v>
      </c>
    </row>
    <row r="956" spans="1:15">
      <c r="A956" s="4">
        <v>45984</v>
      </c>
      <c r="B956" t="s">
        <v>109</v>
      </c>
      <c r="C956" t="s">
        <v>68</v>
      </c>
      <c r="D956">
        <v>3240</v>
      </c>
      <c r="E956" t="s">
        <v>62</v>
      </c>
      <c r="F956" t="s">
        <v>1046</v>
      </c>
      <c r="G956" t="s">
        <v>46</v>
      </c>
      <c r="H956" t="s">
        <v>55</v>
      </c>
      <c r="I956" t="s">
        <v>88</v>
      </c>
      <c r="J956" t="s">
        <v>57</v>
      </c>
      <c r="K956" t="s">
        <v>66</v>
      </c>
      <c r="L956">
        <v>1</v>
      </c>
      <c r="M956">
        <v>45</v>
      </c>
      <c r="N956" t="s">
        <v>71</v>
      </c>
      <c r="O956">
        <v>14</v>
      </c>
    </row>
    <row r="957" spans="1:15">
      <c r="A957" s="4">
        <v>45894</v>
      </c>
      <c r="B957" t="s">
        <v>94</v>
      </c>
      <c r="C957" t="s">
        <v>73</v>
      </c>
      <c r="D957">
        <v>4250</v>
      </c>
      <c r="E957" t="s">
        <v>53</v>
      </c>
      <c r="F957" t="s">
        <v>1047</v>
      </c>
      <c r="G957" t="s">
        <v>45</v>
      </c>
      <c r="H957" t="s">
        <v>55</v>
      </c>
      <c r="I957" t="s">
        <v>84</v>
      </c>
      <c r="J957" t="s">
        <v>65</v>
      </c>
      <c r="K957" t="s">
        <v>76</v>
      </c>
      <c r="L957">
        <v>3</v>
      </c>
      <c r="M957">
        <v>90</v>
      </c>
      <c r="N957" t="s">
        <v>59</v>
      </c>
      <c r="O957">
        <v>18</v>
      </c>
    </row>
    <row r="958" spans="1:15">
      <c r="A958" s="4">
        <v>45981</v>
      </c>
      <c r="B958" t="s">
        <v>101</v>
      </c>
      <c r="C958" t="s">
        <v>52</v>
      </c>
      <c r="D958">
        <v>480</v>
      </c>
      <c r="E958" t="s">
        <v>53</v>
      </c>
      <c r="F958" t="s">
        <v>1048</v>
      </c>
      <c r="G958" t="s">
        <v>46</v>
      </c>
      <c r="H958" t="s">
        <v>55</v>
      </c>
      <c r="I958" t="s">
        <v>84</v>
      </c>
      <c r="J958" t="s">
        <v>57</v>
      </c>
      <c r="K958" t="s">
        <v>58</v>
      </c>
      <c r="L958">
        <v>4</v>
      </c>
      <c r="M958">
        <v>45</v>
      </c>
      <c r="N958" t="s">
        <v>59</v>
      </c>
      <c r="O958">
        <v>11</v>
      </c>
    </row>
    <row r="959" spans="1:15">
      <c r="A959" s="4">
        <v>45810</v>
      </c>
      <c r="B959" t="s">
        <v>97</v>
      </c>
      <c r="C959" t="s">
        <v>61</v>
      </c>
      <c r="D959">
        <v>1090</v>
      </c>
      <c r="E959" t="s">
        <v>74</v>
      </c>
      <c r="F959" t="s">
        <v>1049</v>
      </c>
      <c r="G959" t="s">
        <v>45</v>
      </c>
      <c r="H959" t="s">
        <v>55</v>
      </c>
      <c r="I959" t="s">
        <v>79</v>
      </c>
      <c r="J959" t="s">
        <v>57</v>
      </c>
      <c r="K959" t="s">
        <v>58</v>
      </c>
      <c r="L959">
        <v>5</v>
      </c>
      <c r="M959">
        <v>60</v>
      </c>
      <c r="N959" t="s">
        <v>59</v>
      </c>
      <c r="O959">
        <v>18</v>
      </c>
    </row>
    <row r="960" spans="1:15">
      <c r="A960" s="4">
        <v>45731</v>
      </c>
      <c r="B960" t="s">
        <v>116</v>
      </c>
      <c r="C960" t="s">
        <v>73</v>
      </c>
      <c r="D960">
        <v>1030</v>
      </c>
      <c r="E960" t="s">
        <v>74</v>
      </c>
      <c r="F960" t="s">
        <v>1050</v>
      </c>
      <c r="G960" t="s">
        <v>45</v>
      </c>
      <c r="H960" t="s">
        <v>55</v>
      </c>
      <c r="I960" t="s">
        <v>92</v>
      </c>
      <c r="J960" t="s">
        <v>57</v>
      </c>
      <c r="K960" t="s">
        <v>58</v>
      </c>
      <c r="L960">
        <v>1</v>
      </c>
      <c r="M960">
        <v>45</v>
      </c>
      <c r="N960" t="s">
        <v>93</v>
      </c>
      <c r="O960">
        <v>3</v>
      </c>
    </row>
    <row r="961" spans="1:15">
      <c r="A961" s="4">
        <v>45700</v>
      </c>
      <c r="B961" t="s">
        <v>109</v>
      </c>
      <c r="C961" t="s">
        <v>86</v>
      </c>
      <c r="D961">
        <v>1170</v>
      </c>
      <c r="E961" t="s">
        <v>74</v>
      </c>
      <c r="F961" t="s">
        <v>1051</v>
      </c>
      <c r="G961" t="s">
        <v>46</v>
      </c>
      <c r="H961" t="s">
        <v>55</v>
      </c>
      <c r="I961" t="s">
        <v>79</v>
      </c>
      <c r="J961" t="s">
        <v>57</v>
      </c>
      <c r="K961" t="s">
        <v>58</v>
      </c>
      <c r="L961">
        <v>1</v>
      </c>
      <c r="M961">
        <v>45</v>
      </c>
      <c r="N961" t="s">
        <v>93</v>
      </c>
      <c r="O961">
        <v>9</v>
      </c>
    </row>
    <row r="962" spans="1:15">
      <c r="A962" s="4">
        <v>45970</v>
      </c>
      <c r="B962" t="s">
        <v>90</v>
      </c>
      <c r="C962" t="s">
        <v>52</v>
      </c>
      <c r="D962">
        <v>3170</v>
      </c>
      <c r="E962" t="s">
        <v>53</v>
      </c>
      <c r="F962" t="s">
        <v>1052</v>
      </c>
      <c r="G962" t="s">
        <v>45</v>
      </c>
      <c r="H962" t="s">
        <v>55</v>
      </c>
      <c r="I962" t="s">
        <v>56</v>
      </c>
      <c r="J962" t="s">
        <v>57</v>
      </c>
      <c r="K962" t="s">
        <v>58</v>
      </c>
      <c r="L962">
        <v>2</v>
      </c>
      <c r="M962">
        <v>30</v>
      </c>
      <c r="N962" t="s">
        <v>71</v>
      </c>
      <c r="O962">
        <v>19</v>
      </c>
    </row>
    <row r="963" spans="1:15">
      <c r="A963" s="4">
        <v>45884</v>
      </c>
      <c r="B963" t="s">
        <v>72</v>
      </c>
      <c r="C963" t="s">
        <v>114</v>
      </c>
      <c r="D963">
        <v>190</v>
      </c>
      <c r="E963" t="s">
        <v>62</v>
      </c>
      <c r="F963" t="s">
        <v>1053</v>
      </c>
      <c r="G963" t="s">
        <v>45</v>
      </c>
      <c r="H963" t="s">
        <v>70</v>
      </c>
      <c r="I963" t="s">
        <v>64</v>
      </c>
      <c r="J963" t="s">
        <v>57</v>
      </c>
      <c r="K963" t="s">
        <v>76</v>
      </c>
      <c r="L963">
        <v>1</v>
      </c>
      <c r="M963">
        <v>60</v>
      </c>
      <c r="N963" t="s">
        <v>93</v>
      </c>
      <c r="O963">
        <v>3</v>
      </c>
    </row>
    <row r="964" spans="1:15">
      <c r="A964" s="4">
        <v>45660</v>
      </c>
      <c r="B964" t="s">
        <v>72</v>
      </c>
      <c r="C964" t="s">
        <v>77</v>
      </c>
      <c r="D964">
        <v>550</v>
      </c>
      <c r="E964" t="s">
        <v>53</v>
      </c>
      <c r="F964" t="s">
        <v>1054</v>
      </c>
      <c r="G964" t="s">
        <v>46</v>
      </c>
      <c r="H964" t="s">
        <v>70</v>
      </c>
      <c r="I964" t="s">
        <v>88</v>
      </c>
      <c r="J964" t="s">
        <v>65</v>
      </c>
      <c r="K964" t="s">
        <v>66</v>
      </c>
      <c r="L964">
        <v>3</v>
      </c>
      <c r="M964">
        <v>60</v>
      </c>
      <c r="N964" t="s">
        <v>71</v>
      </c>
      <c r="O964">
        <v>5</v>
      </c>
    </row>
    <row r="965" spans="1:15">
      <c r="A965" s="4">
        <v>45765</v>
      </c>
      <c r="B965" t="s">
        <v>80</v>
      </c>
      <c r="C965" t="s">
        <v>73</v>
      </c>
      <c r="D965">
        <v>680</v>
      </c>
      <c r="E965" t="s">
        <v>53</v>
      </c>
      <c r="F965" t="s">
        <v>1055</v>
      </c>
      <c r="G965" t="s">
        <v>46</v>
      </c>
      <c r="H965" t="s">
        <v>70</v>
      </c>
      <c r="I965" t="s">
        <v>88</v>
      </c>
      <c r="J965" t="s">
        <v>57</v>
      </c>
      <c r="K965" t="s">
        <v>76</v>
      </c>
      <c r="L965">
        <v>2</v>
      </c>
      <c r="M965">
        <v>45</v>
      </c>
      <c r="N965" t="s">
        <v>71</v>
      </c>
      <c r="O965">
        <v>15</v>
      </c>
    </row>
    <row r="966" spans="1:15">
      <c r="A966" s="4">
        <v>45758</v>
      </c>
      <c r="B966" t="s">
        <v>116</v>
      </c>
      <c r="C966" t="s">
        <v>98</v>
      </c>
      <c r="D966">
        <v>2610</v>
      </c>
      <c r="E966" t="s">
        <v>62</v>
      </c>
      <c r="F966" t="s">
        <v>1056</v>
      </c>
      <c r="G966" t="s">
        <v>46</v>
      </c>
      <c r="H966" t="s">
        <v>70</v>
      </c>
      <c r="I966" t="s">
        <v>64</v>
      </c>
      <c r="J966" t="s">
        <v>65</v>
      </c>
      <c r="K966" t="s">
        <v>58</v>
      </c>
      <c r="L966">
        <v>2</v>
      </c>
      <c r="M966">
        <v>90</v>
      </c>
      <c r="N966" t="s">
        <v>71</v>
      </c>
      <c r="O966">
        <v>7</v>
      </c>
    </row>
    <row r="967" spans="1:15">
      <c r="A967" s="4">
        <v>45927</v>
      </c>
      <c r="B967" t="s">
        <v>72</v>
      </c>
      <c r="C967" t="s">
        <v>77</v>
      </c>
      <c r="D967">
        <v>470</v>
      </c>
      <c r="E967" t="s">
        <v>74</v>
      </c>
      <c r="F967" t="s">
        <v>1057</v>
      </c>
      <c r="G967" t="s">
        <v>45</v>
      </c>
      <c r="H967" t="s">
        <v>55</v>
      </c>
      <c r="I967" t="s">
        <v>79</v>
      </c>
      <c r="J967" t="s">
        <v>65</v>
      </c>
      <c r="K967" t="s">
        <v>58</v>
      </c>
      <c r="L967">
        <v>1</v>
      </c>
      <c r="M967">
        <v>90</v>
      </c>
      <c r="N967" t="s">
        <v>71</v>
      </c>
      <c r="O967">
        <v>6</v>
      </c>
    </row>
    <row r="968" spans="1:15">
      <c r="A968" s="4">
        <v>45914</v>
      </c>
      <c r="B968" t="s">
        <v>60</v>
      </c>
      <c r="C968" t="s">
        <v>73</v>
      </c>
      <c r="D968">
        <v>1210</v>
      </c>
      <c r="E968" t="s">
        <v>74</v>
      </c>
      <c r="F968" t="s">
        <v>1058</v>
      </c>
      <c r="G968" t="s">
        <v>46</v>
      </c>
      <c r="H968" t="s">
        <v>55</v>
      </c>
      <c r="I968" t="s">
        <v>64</v>
      </c>
      <c r="J968" t="s">
        <v>65</v>
      </c>
      <c r="K968" t="s">
        <v>58</v>
      </c>
      <c r="L968">
        <v>5</v>
      </c>
      <c r="M968">
        <v>60</v>
      </c>
      <c r="N968" t="s">
        <v>59</v>
      </c>
      <c r="O968">
        <v>5</v>
      </c>
    </row>
    <row r="969" spans="1:15">
      <c r="A969" s="4">
        <v>45807</v>
      </c>
      <c r="B969" t="s">
        <v>80</v>
      </c>
      <c r="C969" t="s">
        <v>81</v>
      </c>
      <c r="D969">
        <v>2810</v>
      </c>
      <c r="E969" t="s">
        <v>62</v>
      </c>
      <c r="F969" t="s">
        <v>1059</v>
      </c>
      <c r="G969" t="s">
        <v>46</v>
      </c>
      <c r="H969" t="s">
        <v>55</v>
      </c>
      <c r="I969" t="s">
        <v>79</v>
      </c>
      <c r="J969" t="s">
        <v>65</v>
      </c>
      <c r="K969" t="s">
        <v>76</v>
      </c>
      <c r="L969">
        <v>3</v>
      </c>
      <c r="M969">
        <v>30</v>
      </c>
      <c r="N969" t="s">
        <v>93</v>
      </c>
      <c r="O969">
        <v>11</v>
      </c>
    </row>
    <row r="970" spans="1:15">
      <c r="A970" s="4">
        <v>45857</v>
      </c>
      <c r="B970" t="s">
        <v>60</v>
      </c>
      <c r="C970" t="s">
        <v>73</v>
      </c>
      <c r="D970">
        <v>2350</v>
      </c>
      <c r="E970" t="s">
        <v>74</v>
      </c>
      <c r="F970" t="s">
        <v>1060</v>
      </c>
      <c r="G970" t="s">
        <v>46</v>
      </c>
      <c r="H970" t="s">
        <v>70</v>
      </c>
      <c r="I970" t="s">
        <v>56</v>
      </c>
      <c r="J970" t="s">
        <v>65</v>
      </c>
      <c r="K970" t="s">
        <v>76</v>
      </c>
      <c r="L970">
        <v>3</v>
      </c>
      <c r="M970">
        <v>90</v>
      </c>
      <c r="N970" t="s">
        <v>59</v>
      </c>
      <c r="O970">
        <v>15</v>
      </c>
    </row>
    <row r="971" spans="1:15">
      <c r="A971" s="4">
        <v>45772</v>
      </c>
      <c r="B971" t="s">
        <v>101</v>
      </c>
      <c r="C971" t="s">
        <v>73</v>
      </c>
      <c r="D971">
        <v>1120</v>
      </c>
      <c r="E971" t="s">
        <v>62</v>
      </c>
      <c r="F971" t="s">
        <v>1061</v>
      </c>
      <c r="G971" t="s">
        <v>46</v>
      </c>
      <c r="H971" t="s">
        <v>70</v>
      </c>
      <c r="I971" t="s">
        <v>88</v>
      </c>
      <c r="J971" t="s">
        <v>57</v>
      </c>
      <c r="K971" t="s">
        <v>66</v>
      </c>
      <c r="L971">
        <v>3</v>
      </c>
      <c r="M971">
        <v>60</v>
      </c>
      <c r="N971" t="s">
        <v>59</v>
      </c>
      <c r="O971">
        <v>15</v>
      </c>
    </row>
    <row r="972" spans="1:15">
      <c r="A972" s="4">
        <v>45737</v>
      </c>
      <c r="B972" t="s">
        <v>60</v>
      </c>
      <c r="C972" t="s">
        <v>81</v>
      </c>
      <c r="D972">
        <v>2680</v>
      </c>
      <c r="E972" t="s">
        <v>74</v>
      </c>
      <c r="F972" t="s">
        <v>1062</v>
      </c>
      <c r="G972" t="s">
        <v>46</v>
      </c>
      <c r="H972" t="s">
        <v>55</v>
      </c>
      <c r="I972" t="s">
        <v>84</v>
      </c>
      <c r="J972" t="s">
        <v>65</v>
      </c>
      <c r="K972" t="s">
        <v>76</v>
      </c>
      <c r="L972">
        <v>1</v>
      </c>
      <c r="M972">
        <v>30</v>
      </c>
      <c r="N972" t="s">
        <v>59</v>
      </c>
      <c r="O972">
        <v>14</v>
      </c>
    </row>
    <row r="973" spans="1:15">
      <c r="A973" s="4">
        <v>45737</v>
      </c>
      <c r="B973" t="s">
        <v>116</v>
      </c>
      <c r="C973" t="s">
        <v>77</v>
      </c>
      <c r="D973">
        <v>2070</v>
      </c>
      <c r="E973" t="s">
        <v>53</v>
      </c>
      <c r="F973" t="s">
        <v>1063</v>
      </c>
      <c r="G973" t="s">
        <v>46</v>
      </c>
      <c r="H973" t="s">
        <v>70</v>
      </c>
      <c r="I973" t="s">
        <v>92</v>
      </c>
      <c r="J973" t="s">
        <v>65</v>
      </c>
      <c r="K973" t="s">
        <v>66</v>
      </c>
      <c r="L973">
        <v>1</v>
      </c>
      <c r="M973">
        <v>60</v>
      </c>
      <c r="N973" t="s">
        <v>59</v>
      </c>
      <c r="O973">
        <v>18</v>
      </c>
    </row>
    <row r="974" spans="1:15">
      <c r="A974" s="4">
        <v>45914</v>
      </c>
      <c r="B974" t="s">
        <v>116</v>
      </c>
      <c r="C974" t="s">
        <v>81</v>
      </c>
      <c r="D974">
        <v>620</v>
      </c>
      <c r="E974" t="s">
        <v>74</v>
      </c>
      <c r="F974" t="s">
        <v>1064</v>
      </c>
      <c r="G974" t="s">
        <v>45</v>
      </c>
      <c r="H974" t="s">
        <v>55</v>
      </c>
      <c r="I974" t="s">
        <v>92</v>
      </c>
      <c r="J974" t="s">
        <v>65</v>
      </c>
      <c r="K974" t="s">
        <v>58</v>
      </c>
      <c r="L974">
        <v>1</v>
      </c>
      <c r="M974">
        <v>30</v>
      </c>
      <c r="N974" t="s">
        <v>71</v>
      </c>
      <c r="O974">
        <v>14</v>
      </c>
    </row>
    <row r="975" spans="1:15">
      <c r="A975" s="4">
        <v>45858</v>
      </c>
      <c r="B975" t="s">
        <v>67</v>
      </c>
      <c r="C975" t="s">
        <v>95</v>
      </c>
      <c r="D975">
        <v>620</v>
      </c>
      <c r="E975" t="s">
        <v>62</v>
      </c>
      <c r="F975" t="s">
        <v>1065</v>
      </c>
      <c r="G975" t="s">
        <v>45</v>
      </c>
      <c r="H975" t="s">
        <v>70</v>
      </c>
      <c r="I975" t="s">
        <v>88</v>
      </c>
      <c r="J975" t="s">
        <v>57</v>
      </c>
      <c r="K975" t="s">
        <v>58</v>
      </c>
      <c r="L975">
        <v>3</v>
      </c>
      <c r="M975">
        <v>90</v>
      </c>
      <c r="N975" t="s">
        <v>93</v>
      </c>
      <c r="O975">
        <v>8</v>
      </c>
    </row>
    <row r="976" spans="1:15">
      <c r="A976" s="4">
        <v>46011</v>
      </c>
      <c r="B976" t="s">
        <v>101</v>
      </c>
      <c r="C976" t="s">
        <v>81</v>
      </c>
      <c r="D976">
        <v>2400</v>
      </c>
      <c r="E976" t="s">
        <v>74</v>
      </c>
      <c r="F976" t="s">
        <v>1066</v>
      </c>
      <c r="G976" t="s">
        <v>45</v>
      </c>
      <c r="H976" t="s">
        <v>55</v>
      </c>
      <c r="I976" t="s">
        <v>64</v>
      </c>
      <c r="J976" t="s">
        <v>57</v>
      </c>
      <c r="K976" t="s">
        <v>58</v>
      </c>
      <c r="L976">
        <v>2</v>
      </c>
      <c r="M976">
        <v>45</v>
      </c>
      <c r="N976" t="s">
        <v>71</v>
      </c>
      <c r="O976">
        <v>4</v>
      </c>
    </row>
    <row r="977" spans="1:15">
      <c r="A977" s="4">
        <v>46000</v>
      </c>
      <c r="B977" t="s">
        <v>94</v>
      </c>
      <c r="C977" t="s">
        <v>68</v>
      </c>
      <c r="D977">
        <v>3820</v>
      </c>
      <c r="E977" t="s">
        <v>74</v>
      </c>
      <c r="F977" t="s">
        <v>1067</v>
      </c>
      <c r="G977" t="s">
        <v>46</v>
      </c>
      <c r="H977" t="s">
        <v>70</v>
      </c>
      <c r="I977" t="s">
        <v>64</v>
      </c>
      <c r="J977" t="s">
        <v>57</v>
      </c>
      <c r="K977" t="s">
        <v>76</v>
      </c>
      <c r="L977">
        <v>2</v>
      </c>
      <c r="M977">
        <v>90</v>
      </c>
      <c r="N977" t="s">
        <v>93</v>
      </c>
      <c r="O977">
        <v>13</v>
      </c>
    </row>
    <row r="978" spans="1:15">
      <c r="A978" s="4">
        <v>45755</v>
      </c>
      <c r="B978" t="s">
        <v>90</v>
      </c>
      <c r="C978" t="s">
        <v>73</v>
      </c>
      <c r="D978">
        <v>430</v>
      </c>
      <c r="E978" t="s">
        <v>53</v>
      </c>
      <c r="F978" t="s">
        <v>1068</v>
      </c>
      <c r="G978" t="s">
        <v>46</v>
      </c>
      <c r="H978" t="s">
        <v>70</v>
      </c>
      <c r="I978" t="s">
        <v>56</v>
      </c>
      <c r="J978" t="s">
        <v>65</v>
      </c>
      <c r="K978" t="s">
        <v>66</v>
      </c>
      <c r="L978">
        <v>4</v>
      </c>
      <c r="M978">
        <v>45</v>
      </c>
      <c r="N978" t="s">
        <v>93</v>
      </c>
      <c r="O978">
        <v>17</v>
      </c>
    </row>
    <row r="979" spans="1:15">
      <c r="A979" s="4">
        <v>45929</v>
      </c>
      <c r="B979" t="s">
        <v>97</v>
      </c>
      <c r="C979" t="s">
        <v>114</v>
      </c>
      <c r="D979">
        <v>1750</v>
      </c>
      <c r="E979" t="s">
        <v>62</v>
      </c>
      <c r="F979" t="s">
        <v>1069</v>
      </c>
      <c r="G979" t="s">
        <v>45</v>
      </c>
      <c r="H979" t="s">
        <v>70</v>
      </c>
      <c r="I979" t="s">
        <v>79</v>
      </c>
      <c r="J979" t="s">
        <v>65</v>
      </c>
      <c r="K979" t="s">
        <v>58</v>
      </c>
      <c r="L979">
        <v>1</v>
      </c>
      <c r="M979">
        <v>30</v>
      </c>
      <c r="N979" t="s">
        <v>93</v>
      </c>
      <c r="O979">
        <v>13</v>
      </c>
    </row>
    <row r="980" spans="1:15">
      <c r="A980" s="4">
        <v>45719</v>
      </c>
      <c r="B980" t="s">
        <v>51</v>
      </c>
      <c r="C980" t="s">
        <v>95</v>
      </c>
      <c r="D980">
        <v>4870</v>
      </c>
      <c r="E980" t="s">
        <v>53</v>
      </c>
      <c r="F980" t="s">
        <v>1070</v>
      </c>
      <c r="G980" t="s">
        <v>45</v>
      </c>
      <c r="H980" t="s">
        <v>70</v>
      </c>
      <c r="I980" t="s">
        <v>92</v>
      </c>
      <c r="J980" t="s">
        <v>57</v>
      </c>
      <c r="K980" t="s">
        <v>58</v>
      </c>
      <c r="L980">
        <v>3</v>
      </c>
      <c r="M980">
        <v>90</v>
      </c>
      <c r="N980" t="s">
        <v>59</v>
      </c>
      <c r="O980">
        <v>10</v>
      </c>
    </row>
    <row r="981" spans="1:15">
      <c r="A981" s="4">
        <v>45834</v>
      </c>
      <c r="B981" t="s">
        <v>94</v>
      </c>
      <c r="C981" t="s">
        <v>98</v>
      </c>
      <c r="D981">
        <v>430</v>
      </c>
      <c r="E981" t="s">
        <v>62</v>
      </c>
      <c r="F981" t="s">
        <v>1071</v>
      </c>
      <c r="G981" t="s">
        <v>46</v>
      </c>
      <c r="H981" t="s">
        <v>70</v>
      </c>
      <c r="I981" t="s">
        <v>92</v>
      </c>
      <c r="J981" t="s">
        <v>65</v>
      </c>
      <c r="K981" t="s">
        <v>66</v>
      </c>
      <c r="L981">
        <v>3</v>
      </c>
      <c r="M981">
        <v>45</v>
      </c>
      <c r="N981" t="s">
        <v>59</v>
      </c>
      <c r="O981">
        <v>6</v>
      </c>
    </row>
    <row r="982" spans="1:15">
      <c r="A982" s="4">
        <v>45814</v>
      </c>
      <c r="B982" t="s">
        <v>94</v>
      </c>
      <c r="C982" t="s">
        <v>81</v>
      </c>
      <c r="D982">
        <v>3860</v>
      </c>
      <c r="E982" t="s">
        <v>53</v>
      </c>
      <c r="F982" t="s">
        <v>1072</v>
      </c>
      <c r="G982" t="s">
        <v>46</v>
      </c>
      <c r="H982" t="s">
        <v>55</v>
      </c>
      <c r="I982" t="s">
        <v>64</v>
      </c>
      <c r="J982" t="s">
        <v>65</v>
      </c>
      <c r="K982" t="s">
        <v>76</v>
      </c>
      <c r="L982">
        <v>2</v>
      </c>
      <c r="M982">
        <v>45</v>
      </c>
      <c r="N982" t="s">
        <v>59</v>
      </c>
      <c r="O982">
        <v>11</v>
      </c>
    </row>
    <row r="983" spans="1:15">
      <c r="A983" s="4">
        <v>45747</v>
      </c>
      <c r="B983" t="s">
        <v>67</v>
      </c>
      <c r="C983" t="s">
        <v>114</v>
      </c>
      <c r="D983">
        <v>1030</v>
      </c>
      <c r="E983" t="s">
        <v>53</v>
      </c>
      <c r="F983" t="s">
        <v>1073</v>
      </c>
      <c r="G983" t="s">
        <v>45</v>
      </c>
      <c r="H983" t="s">
        <v>70</v>
      </c>
      <c r="I983" t="s">
        <v>79</v>
      </c>
      <c r="J983" t="s">
        <v>65</v>
      </c>
      <c r="K983" t="s">
        <v>66</v>
      </c>
      <c r="L983">
        <v>4</v>
      </c>
      <c r="M983">
        <v>30</v>
      </c>
      <c r="N983" t="s">
        <v>59</v>
      </c>
      <c r="O983">
        <v>3</v>
      </c>
    </row>
    <row r="984" spans="1:15">
      <c r="A984" s="4">
        <v>45774</v>
      </c>
      <c r="B984" t="s">
        <v>80</v>
      </c>
      <c r="C984" t="s">
        <v>52</v>
      </c>
      <c r="D984">
        <v>650</v>
      </c>
      <c r="E984" t="s">
        <v>62</v>
      </c>
      <c r="F984" t="s">
        <v>1074</v>
      </c>
      <c r="G984" t="s">
        <v>46</v>
      </c>
      <c r="H984" t="s">
        <v>55</v>
      </c>
      <c r="I984" t="s">
        <v>64</v>
      </c>
      <c r="J984" t="s">
        <v>57</v>
      </c>
      <c r="K984" t="s">
        <v>76</v>
      </c>
      <c r="L984">
        <v>4</v>
      </c>
      <c r="M984">
        <v>30</v>
      </c>
      <c r="N984" t="s">
        <v>59</v>
      </c>
      <c r="O984">
        <v>14</v>
      </c>
    </row>
    <row r="985" spans="1:15">
      <c r="A985" s="4">
        <v>45754</v>
      </c>
      <c r="B985" t="s">
        <v>85</v>
      </c>
      <c r="C985" t="s">
        <v>81</v>
      </c>
      <c r="D985">
        <v>1440</v>
      </c>
      <c r="E985" t="s">
        <v>53</v>
      </c>
      <c r="F985" t="s">
        <v>1075</v>
      </c>
      <c r="G985" t="s">
        <v>46</v>
      </c>
      <c r="H985" t="s">
        <v>55</v>
      </c>
      <c r="I985" t="s">
        <v>64</v>
      </c>
      <c r="J985" t="s">
        <v>57</v>
      </c>
      <c r="K985" t="s">
        <v>76</v>
      </c>
      <c r="L985">
        <v>4</v>
      </c>
      <c r="M985">
        <v>90</v>
      </c>
      <c r="N985" t="s">
        <v>93</v>
      </c>
      <c r="O985">
        <v>16</v>
      </c>
    </row>
    <row r="986" spans="1:15">
      <c r="A986" s="4">
        <v>45867</v>
      </c>
      <c r="B986" t="s">
        <v>67</v>
      </c>
      <c r="C986" t="s">
        <v>61</v>
      </c>
      <c r="D986">
        <v>4500</v>
      </c>
      <c r="E986" t="s">
        <v>74</v>
      </c>
      <c r="F986" t="s">
        <v>1076</v>
      </c>
      <c r="G986" t="s">
        <v>46</v>
      </c>
      <c r="H986" t="s">
        <v>70</v>
      </c>
      <c r="I986" t="s">
        <v>92</v>
      </c>
      <c r="J986" t="s">
        <v>57</v>
      </c>
      <c r="K986" t="s">
        <v>76</v>
      </c>
      <c r="L986">
        <v>1</v>
      </c>
      <c r="M986">
        <v>90</v>
      </c>
      <c r="N986" t="s">
        <v>71</v>
      </c>
      <c r="O986">
        <v>11</v>
      </c>
    </row>
    <row r="987" spans="1:15">
      <c r="A987" s="4">
        <v>45770</v>
      </c>
      <c r="B987" t="s">
        <v>80</v>
      </c>
      <c r="C987" t="s">
        <v>68</v>
      </c>
      <c r="D987">
        <v>4230</v>
      </c>
      <c r="E987" t="s">
        <v>53</v>
      </c>
      <c r="F987" t="s">
        <v>1077</v>
      </c>
      <c r="G987" t="s">
        <v>45</v>
      </c>
      <c r="H987" t="s">
        <v>70</v>
      </c>
      <c r="I987" t="s">
        <v>79</v>
      </c>
      <c r="J987" t="s">
        <v>57</v>
      </c>
      <c r="K987" t="s">
        <v>76</v>
      </c>
      <c r="L987">
        <v>3</v>
      </c>
      <c r="M987">
        <v>60</v>
      </c>
      <c r="N987" t="s">
        <v>93</v>
      </c>
      <c r="O987">
        <v>9</v>
      </c>
    </row>
    <row r="988" spans="1:15">
      <c r="A988" s="4">
        <v>45678</v>
      </c>
      <c r="B988" t="s">
        <v>94</v>
      </c>
      <c r="C988" t="s">
        <v>73</v>
      </c>
      <c r="D988">
        <v>4310</v>
      </c>
      <c r="E988" t="s">
        <v>62</v>
      </c>
      <c r="F988" t="s">
        <v>1078</v>
      </c>
      <c r="G988" t="s">
        <v>45</v>
      </c>
      <c r="H988" t="s">
        <v>70</v>
      </c>
      <c r="I988" t="s">
        <v>56</v>
      </c>
      <c r="J988" t="s">
        <v>57</v>
      </c>
      <c r="K988" t="s">
        <v>58</v>
      </c>
      <c r="L988">
        <v>2</v>
      </c>
      <c r="M988">
        <v>30</v>
      </c>
      <c r="N988" t="s">
        <v>71</v>
      </c>
      <c r="O988">
        <v>9</v>
      </c>
    </row>
    <row r="989" spans="1:15">
      <c r="A989" s="4">
        <v>45915</v>
      </c>
      <c r="B989" t="s">
        <v>67</v>
      </c>
      <c r="C989" t="s">
        <v>114</v>
      </c>
      <c r="D989">
        <v>3500</v>
      </c>
      <c r="E989" t="s">
        <v>74</v>
      </c>
      <c r="F989" t="s">
        <v>1079</v>
      </c>
      <c r="G989" t="s">
        <v>45</v>
      </c>
      <c r="H989" t="s">
        <v>55</v>
      </c>
      <c r="I989" t="s">
        <v>79</v>
      </c>
      <c r="J989" t="s">
        <v>57</v>
      </c>
      <c r="K989" t="s">
        <v>76</v>
      </c>
      <c r="L989">
        <v>3</v>
      </c>
      <c r="M989">
        <v>60</v>
      </c>
      <c r="N989" t="s">
        <v>71</v>
      </c>
      <c r="O989">
        <v>5</v>
      </c>
    </row>
    <row r="990" spans="1:15">
      <c r="A990" s="4">
        <v>46003</v>
      </c>
      <c r="B990" t="s">
        <v>51</v>
      </c>
      <c r="C990" t="s">
        <v>73</v>
      </c>
      <c r="D990">
        <v>4010</v>
      </c>
      <c r="E990" t="s">
        <v>53</v>
      </c>
      <c r="F990" t="s">
        <v>1080</v>
      </c>
      <c r="G990" t="s">
        <v>46</v>
      </c>
      <c r="H990" t="s">
        <v>70</v>
      </c>
      <c r="I990" t="s">
        <v>79</v>
      </c>
      <c r="J990" t="s">
        <v>65</v>
      </c>
      <c r="K990" t="s">
        <v>58</v>
      </c>
      <c r="L990">
        <v>3</v>
      </c>
      <c r="M990">
        <v>30</v>
      </c>
      <c r="N990" t="s">
        <v>93</v>
      </c>
      <c r="O990">
        <v>4</v>
      </c>
    </row>
    <row r="991" spans="1:15">
      <c r="A991" s="4">
        <v>45773</v>
      </c>
      <c r="B991" t="s">
        <v>51</v>
      </c>
      <c r="C991" t="s">
        <v>73</v>
      </c>
      <c r="D991">
        <v>3440</v>
      </c>
      <c r="E991" t="s">
        <v>62</v>
      </c>
      <c r="F991" t="s">
        <v>1081</v>
      </c>
      <c r="G991" t="s">
        <v>46</v>
      </c>
      <c r="H991" t="s">
        <v>70</v>
      </c>
      <c r="I991" t="s">
        <v>84</v>
      </c>
      <c r="J991" t="s">
        <v>57</v>
      </c>
      <c r="K991" t="s">
        <v>76</v>
      </c>
      <c r="L991">
        <v>2</v>
      </c>
      <c r="M991">
        <v>60</v>
      </c>
      <c r="N991" t="s">
        <v>93</v>
      </c>
      <c r="O991">
        <v>9</v>
      </c>
    </row>
    <row r="992" spans="1:15">
      <c r="A992" s="4">
        <v>46007</v>
      </c>
      <c r="B992" t="s">
        <v>109</v>
      </c>
      <c r="C992" t="s">
        <v>114</v>
      </c>
      <c r="D992">
        <v>1050</v>
      </c>
      <c r="E992" t="s">
        <v>62</v>
      </c>
      <c r="F992" t="s">
        <v>1082</v>
      </c>
      <c r="G992" t="s">
        <v>46</v>
      </c>
      <c r="H992" t="s">
        <v>70</v>
      </c>
      <c r="I992" t="s">
        <v>64</v>
      </c>
      <c r="J992" t="s">
        <v>57</v>
      </c>
      <c r="K992" t="s">
        <v>76</v>
      </c>
      <c r="L992">
        <v>1</v>
      </c>
      <c r="M992">
        <v>90</v>
      </c>
      <c r="N992" t="s">
        <v>71</v>
      </c>
      <c r="O992">
        <v>19</v>
      </c>
    </row>
    <row r="993" spans="1:15">
      <c r="A993" s="4">
        <v>45748</v>
      </c>
      <c r="B993" t="s">
        <v>72</v>
      </c>
      <c r="C993" t="s">
        <v>52</v>
      </c>
      <c r="D993">
        <v>3170</v>
      </c>
      <c r="E993" t="s">
        <v>74</v>
      </c>
      <c r="F993" t="s">
        <v>1083</v>
      </c>
      <c r="G993" t="s">
        <v>45</v>
      </c>
      <c r="H993" t="s">
        <v>55</v>
      </c>
      <c r="I993" t="s">
        <v>92</v>
      </c>
      <c r="J993" t="s">
        <v>57</v>
      </c>
      <c r="K993" t="s">
        <v>76</v>
      </c>
      <c r="L993">
        <v>3</v>
      </c>
      <c r="M993">
        <v>60</v>
      </c>
      <c r="N993" t="s">
        <v>71</v>
      </c>
      <c r="O993">
        <v>19</v>
      </c>
    </row>
    <row r="994" spans="1:15">
      <c r="A994" s="4">
        <v>45951</v>
      </c>
      <c r="B994" t="s">
        <v>109</v>
      </c>
      <c r="C994" t="s">
        <v>61</v>
      </c>
      <c r="D994">
        <v>3860</v>
      </c>
      <c r="E994" t="s">
        <v>53</v>
      </c>
      <c r="F994" t="s">
        <v>1084</v>
      </c>
      <c r="G994" t="s">
        <v>46</v>
      </c>
      <c r="H994" t="s">
        <v>55</v>
      </c>
      <c r="I994" t="s">
        <v>88</v>
      </c>
      <c r="J994" t="s">
        <v>65</v>
      </c>
      <c r="K994" t="s">
        <v>66</v>
      </c>
      <c r="L994">
        <v>2</v>
      </c>
      <c r="M994">
        <v>60</v>
      </c>
      <c r="N994" t="s">
        <v>71</v>
      </c>
      <c r="O994">
        <v>17</v>
      </c>
    </row>
    <row r="995" spans="1:15">
      <c r="A995" s="4">
        <v>45723</v>
      </c>
      <c r="B995" t="s">
        <v>85</v>
      </c>
      <c r="C995" t="s">
        <v>68</v>
      </c>
      <c r="D995">
        <v>2040</v>
      </c>
      <c r="E995" t="s">
        <v>74</v>
      </c>
      <c r="F995" t="s">
        <v>1085</v>
      </c>
      <c r="G995" t="s">
        <v>45</v>
      </c>
      <c r="H995" t="s">
        <v>70</v>
      </c>
      <c r="I995" t="s">
        <v>88</v>
      </c>
      <c r="J995" t="s">
        <v>65</v>
      </c>
      <c r="K995" t="s">
        <v>66</v>
      </c>
      <c r="L995">
        <v>4</v>
      </c>
      <c r="M995">
        <v>30</v>
      </c>
      <c r="N995" t="s">
        <v>71</v>
      </c>
      <c r="O995">
        <v>16</v>
      </c>
    </row>
    <row r="996" spans="1:15">
      <c r="A996" s="4">
        <v>45947</v>
      </c>
      <c r="B996" t="s">
        <v>109</v>
      </c>
      <c r="C996" t="s">
        <v>61</v>
      </c>
      <c r="D996">
        <v>4140</v>
      </c>
      <c r="E996" t="s">
        <v>53</v>
      </c>
      <c r="F996" t="s">
        <v>1086</v>
      </c>
      <c r="G996" t="s">
        <v>45</v>
      </c>
      <c r="H996" t="s">
        <v>70</v>
      </c>
      <c r="I996" t="s">
        <v>79</v>
      </c>
      <c r="J996" t="s">
        <v>65</v>
      </c>
      <c r="K996" t="s">
        <v>66</v>
      </c>
      <c r="L996">
        <v>3</v>
      </c>
      <c r="M996">
        <v>90</v>
      </c>
      <c r="N996" t="s">
        <v>71</v>
      </c>
      <c r="O996">
        <v>3</v>
      </c>
    </row>
    <row r="997" spans="1:15">
      <c r="A997" s="4">
        <v>46005</v>
      </c>
      <c r="B997" t="s">
        <v>67</v>
      </c>
      <c r="C997" t="s">
        <v>114</v>
      </c>
      <c r="D997">
        <v>3540</v>
      </c>
      <c r="E997" t="s">
        <v>53</v>
      </c>
      <c r="F997" t="s">
        <v>1087</v>
      </c>
      <c r="G997" t="s">
        <v>45</v>
      </c>
      <c r="H997" t="s">
        <v>70</v>
      </c>
      <c r="I997" t="s">
        <v>64</v>
      </c>
      <c r="J997" t="s">
        <v>65</v>
      </c>
      <c r="K997" t="s">
        <v>76</v>
      </c>
      <c r="L997">
        <v>1</v>
      </c>
      <c r="M997">
        <v>30</v>
      </c>
      <c r="N997" t="s">
        <v>71</v>
      </c>
      <c r="O997">
        <v>17</v>
      </c>
    </row>
    <row r="998" spans="1:15">
      <c r="A998" s="4">
        <v>46022</v>
      </c>
      <c r="B998" t="s">
        <v>116</v>
      </c>
      <c r="C998" t="s">
        <v>73</v>
      </c>
      <c r="D998">
        <v>1240</v>
      </c>
      <c r="E998" t="s">
        <v>62</v>
      </c>
      <c r="F998" t="s">
        <v>1088</v>
      </c>
      <c r="G998" t="s">
        <v>46</v>
      </c>
      <c r="H998" t="s">
        <v>55</v>
      </c>
      <c r="I998" t="s">
        <v>88</v>
      </c>
      <c r="J998" t="s">
        <v>65</v>
      </c>
      <c r="K998" t="s">
        <v>66</v>
      </c>
      <c r="L998">
        <v>4</v>
      </c>
      <c r="M998">
        <v>60</v>
      </c>
      <c r="N998" t="s">
        <v>71</v>
      </c>
      <c r="O998">
        <v>14</v>
      </c>
    </row>
    <row r="999" spans="1:15">
      <c r="A999" s="4">
        <v>45788</v>
      </c>
      <c r="B999" t="s">
        <v>80</v>
      </c>
      <c r="C999" t="s">
        <v>73</v>
      </c>
      <c r="D999">
        <v>730</v>
      </c>
      <c r="E999" t="s">
        <v>74</v>
      </c>
      <c r="F999" t="s">
        <v>1089</v>
      </c>
      <c r="G999" t="s">
        <v>46</v>
      </c>
      <c r="H999" t="s">
        <v>55</v>
      </c>
      <c r="I999" t="s">
        <v>92</v>
      </c>
      <c r="J999" t="s">
        <v>57</v>
      </c>
      <c r="K999" t="s">
        <v>66</v>
      </c>
      <c r="L999">
        <v>3</v>
      </c>
      <c r="M999">
        <v>45</v>
      </c>
      <c r="N999" t="s">
        <v>59</v>
      </c>
      <c r="O999">
        <v>7</v>
      </c>
    </row>
    <row r="1000" spans="1:15">
      <c r="A1000" s="4">
        <v>45937</v>
      </c>
      <c r="B1000" t="s">
        <v>80</v>
      </c>
      <c r="C1000" t="s">
        <v>114</v>
      </c>
      <c r="D1000">
        <v>2860</v>
      </c>
      <c r="E1000" t="s">
        <v>53</v>
      </c>
      <c r="F1000" t="s">
        <v>1090</v>
      </c>
      <c r="G1000" t="s">
        <v>46</v>
      </c>
      <c r="H1000" t="s">
        <v>70</v>
      </c>
      <c r="I1000" t="s">
        <v>64</v>
      </c>
      <c r="J1000" t="s">
        <v>57</v>
      </c>
      <c r="K1000" t="s">
        <v>66</v>
      </c>
      <c r="L1000">
        <v>2</v>
      </c>
      <c r="M1000">
        <v>90</v>
      </c>
      <c r="N1000" t="s">
        <v>71</v>
      </c>
      <c r="O1000">
        <v>20</v>
      </c>
    </row>
    <row r="1001" spans="1:15">
      <c r="A1001" s="4">
        <v>45694</v>
      </c>
      <c r="B1001" t="s">
        <v>109</v>
      </c>
      <c r="C1001" t="s">
        <v>81</v>
      </c>
      <c r="D1001">
        <v>1400</v>
      </c>
      <c r="E1001" t="s">
        <v>62</v>
      </c>
      <c r="F1001" t="s">
        <v>1091</v>
      </c>
      <c r="G1001" t="s">
        <v>45</v>
      </c>
      <c r="H1001" t="s">
        <v>55</v>
      </c>
      <c r="I1001" t="s">
        <v>88</v>
      </c>
      <c r="J1001" t="s">
        <v>65</v>
      </c>
      <c r="K1001" t="s">
        <v>58</v>
      </c>
      <c r="L1001">
        <v>3</v>
      </c>
      <c r="M1001">
        <v>60</v>
      </c>
      <c r="N1001" t="s">
        <v>71</v>
      </c>
      <c r="O1001">
        <v>14</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3"/>
  <sheetViews>
    <sheetView workbookViewId="0">
      <selection activeCell="R13" sqref="R13"/>
    </sheetView>
  </sheetViews>
  <sheetFormatPr defaultRowHeight="14.4"/>
  <cols>
    <col min="2" max="2" width="16.5546875" customWidth="1"/>
    <col min="5" max="5" width="12.77734375" bestFit="1" customWidth="1"/>
  </cols>
  <sheetData>
    <row r="1" spans="2:17" ht="21">
      <c r="B1" s="44" t="s">
        <v>22</v>
      </c>
      <c r="C1" s="21"/>
      <c r="D1" s="21"/>
      <c r="E1" s="21"/>
      <c r="F1" s="21"/>
      <c r="G1" s="21"/>
      <c r="H1" s="21"/>
    </row>
    <row r="2" spans="2:17">
      <c r="B2" s="19" t="s">
        <v>23</v>
      </c>
    </row>
    <row r="3" spans="2:17">
      <c r="B3" s="15"/>
    </row>
    <row r="4" spans="2:17">
      <c r="B4" s="15"/>
    </row>
    <row r="5" spans="2:17">
      <c r="B5" s="15"/>
    </row>
    <row r="6" spans="2:17">
      <c r="B6" s="15"/>
    </row>
    <row r="7" spans="2:17">
      <c r="B7" s="15"/>
    </row>
    <row r="8" spans="2:17" ht="15" thickBot="1"/>
    <row r="9" spans="2:17" ht="15.6" customHeight="1" thickTop="1" thickBot="1">
      <c r="B9" s="30" t="s">
        <v>24</v>
      </c>
      <c r="C9" s="32"/>
      <c r="E9" s="24">
        <f>SUM(SpendDataTbl[Amount])</f>
        <v>2506890</v>
      </c>
      <c r="G9" s="30" t="s">
        <v>25</v>
      </c>
      <c r="H9" s="31"/>
      <c r="I9" s="32"/>
      <c r="K9" s="22">
        <f>COUNTIF(SpendDataTbl[Delivery Status],"On-time")</f>
        <v>512</v>
      </c>
      <c r="M9" s="30" t="s">
        <v>26</v>
      </c>
      <c r="N9" s="31"/>
      <c r="O9" s="32"/>
      <c r="Q9" s="22">
        <f>COUNTIF(SpendDataTbl[Defects],"Yes")</f>
        <v>488</v>
      </c>
    </row>
    <row r="10" spans="2:17" ht="15.6" thickTop="1" thickBot="1">
      <c r="B10" s="33"/>
      <c r="C10" s="35"/>
      <c r="E10" s="25"/>
      <c r="G10" s="33"/>
      <c r="H10" s="34"/>
      <c r="I10" s="35"/>
      <c r="K10" s="23"/>
      <c r="M10" s="33"/>
      <c r="N10" s="34"/>
      <c r="O10" s="35"/>
      <c r="Q10" s="23"/>
    </row>
    <row r="11" spans="2:17" ht="15.6" thickTop="1" thickBot="1"/>
    <row r="12" spans="2:17" ht="15.6" thickTop="1" thickBot="1">
      <c r="B12" s="30" t="s">
        <v>27</v>
      </c>
      <c r="C12" s="32"/>
      <c r="E12" s="22">
        <f>COUNTA(SpendDataTbl[PO Number])</f>
        <v>1000</v>
      </c>
      <c r="G12" s="30" t="s">
        <v>28</v>
      </c>
      <c r="H12" s="31"/>
      <c r="I12" s="32"/>
      <c r="K12" s="22">
        <f>COUNTIF(SpendDataTbl[Delivery Status],"Late")</f>
        <v>488</v>
      </c>
      <c r="M12" s="30" t="s">
        <v>29</v>
      </c>
      <c r="N12" s="31"/>
      <c r="O12" s="32"/>
      <c r="Q12" s="28">
        <f>COUNTIF(SpendDataTbl[Defects],"Yes")/COUNTA(SpendDataTbl[Defects])</f>
        <v>0.48799999999999999</v>
      </c>
    </row>
    <row r="13" spans="2:17" ht="15.6" thickTop="1" thickBot="1">
      <c r="B13" s="33"/>
      <c r="C13" s="35"/>
      <c r="E13" s="23"/>
      <c r="G13" s="33"/>
      <c r="H13" s="34"/>
      <c r="I13" s="35"/>
      <c r="K13" s="23"/>
      <c r="M13" s="33"/>
      <c r="N13" s="34"/>
      <c r="O13" s="35"/>
      <c r="Q13" s="29"/>
    </row>
    <row r="14" spans="2:17" ht="15.6" thickTop="1" thickBot="1"/>
    <row r="15" spans="2:17" ht="15.45" customHeight="1" thickTop="1" thickBot="1">
      <c r="B15" s="30" t="s">
        <v>30</v>
      </c>
      <c r="C15" s="32"/>
      <c r="E15" s="26">
        <f>AVERAGE(SpendDataTbl[Lead Time (days)])</f>
        <v>11.625999999999999</v>
      </c>
      <c r="G15" s="30" t="s">
        <v>31</v>
      </c>
      <c r="H15" s="31"/>
      <c r="I15" s="32"/>
      <c r="K15" s="28">
        <f>COUNTIF(SpendDataTbl[Delivery Status],"On-time")/COUNTA(SpendDataTbl[Delivery Status])</f>
        <v>0.51200000000000001</v>
      </c>
      <c r="M15" s="36" t="s">
        <v>32</v>
      </c>
      <c r="N15" s="37"/>
      <c r="O15" s="38"/>
      <c r="Q15" s="42">
        <f>SUMIF(SpendDataTbl[Supplier Risk Score],"&gt;4",SpendDataTbl[Amount])</f>
        <v>245560</v>
      </c>
    </row>
    <row r="16" spans="2:17" ht="15.6" thickTop="1" thickBot="1">
      <c r="B16" s="33"/>
      <c r="C16" s="35"/>
      <c r="E16" s="27"/>
      <c r="G16" s="33"/>
      <c r="H16" s="34"/>
      <c r="I16" s="35"/>
      <c r="K16" s="29"/>
      <c r="M16" s="39"/>
      <c r="N16" s="40"/>
      <c r="O16" s="41"/>
      <c r="Q16" s="43"/>
    </row>
    <row r="17" spans="2:17" ht="15.6" thickTop="1" thickBot="1"/>
    <row r="18" spans="2:17" ht="15.6" thickTop="1" thickBot="1">
      <c r="B18" s="30" t="s">
        <v>1109</v>
      </c>
      <c r="C18" s="32"/>
      <c r="E18" s="42">
        <f>COUNTIF(SpendDataTbl[Invoice Status],"*Overdue*")</f>
        <v>339</v>
      </c>
      <c r="G18" s="36" t="s">
        <v>1111</v>
      </c>
      <c r="H18" s="37"/>
      <c r="I18" s="38"/>
      <c r="K18" s="28" cm="1">
        <f t="array" ref="K18">SUMPRODUCT(--(SpendDataTbl[Delivery Status]="On-time"),--(SpendDataTbl[Defects]="No"),--(SpendDataTbl[Invoice Status]&lt;&gt;"Overdue")) / COUNTA(SpendDataTbl[PO Number])</f>
        <v>0.17100000000000001</v>
      </c>
      <c r="M18" s="30" t="s">
        <v>1110</v>
      </c>
      <c r="N18" s="31"/>
      <c r="O18" s="32"/>
      <c r="Q18" s="28">
        <f>COUNTIFS(SpendDataTbl[Delivery Status],"On-time") / COUNTA(SpendDataTbl[PO Number])</f>
        <v>0.51200000000000001</v>
      </c>
    </row>
    <row r="19" spans="2:17" ht="15.6" thickTop="1" thickBot="1">
      <c r="B19" s="33"/>
      <c r="C19" s="35"/>
      <c r="E19" s="43"/>
      <c r="G19" s="39"/>
      <c r="H19" s="40"/>
      <c r="I19" s="41"/>
      <c r="K19" s="29"/>
      <c r="M19" s="33"/>
      <c r="N19" s="34"/>
      <c r="O19" s="35"/>
      <c r="Q19" s="29"/>
    </row>
    <row r="20" spans="2:17" ht="15" thickTop="1"/>
    <row r="21" spans="2:17">
      <c r="B21" s="20" t="s">
        <v>33</v>
      </c>
      <c r="C21" s="21"/>
      <c r="D21" s="21"/>
      <c r="E21" s="21"/>
      <c r="F21" s="21"/>
      <c r="G21" s="21"/>
      <c r="H21" s="21"/>
      <c r="J21" s="20" t="s">
        <v>34</v>
      </c>
      <c r="K21" s="21"/>
      <c r="L21" s="21"/>
      <c r="M21" s="21"/>
      <c r="N21" s="21"/>
      <c r="O21" s="21"/>
      <c r="P21" s="21"/>
    </row>
    <row r="22" spans="2:17">
      <c r="B22" s="21"/>
      <c r="C22" s="21"/>
      <c r="D22" s="21"/>
      <c r="E22" s="21"/>
      <c r="F22" s="21"/>
      <c r="G22" s="21"/>
      <c r="H22" s="21"/>
      <c r="J22" s="21"/>
      <c r="K22" s="21"/>
      <c r="L22" s="21"/>
      <c r="M22" s="21"/>
      <c r="N22" s="21"/>
      <c r="O22" s="21"/>
      <c r="P22" s="21"/>
    </row>
    <row r="23" spans="2:17">
      <c r="B23" s="21"/>
      <c r="C23" s="21"/>
      <c r="D23" s="21"/>
      <c r="E23" s="21"/>
      <c r="F23" s="21"/>
      <c r="G23" s="21"/>
      <c r="H23" s="21"/>
      <c r="J23" s="21"/>
      <c r="K23" s="21"/>
      <c r="L23" s="21"/>
      <c r="M23" s="21"/>
      <c r="N23" s="21"/>
      <c r="O23" s="21"/>
      <c r="P23" s="21"/>
    </row>
    <row r="24" spans="2:17">
      <c r="B24" s="21"/>
      <c r="C24" s="21"/>
      <c r="D24" s="21"/>
      <c r="E24" s="21"/>
      <c r="F24" s="21"/>
      <c r="G24" s="21"/>
      <c r="H24" s="21"/>
      <c r="J24" s="21"/>
      <c r="K24" s="21"/>
      <c r="L24" s="21"/>
      <c r="M24" s="21"/>
      <c r="N24" s="21"/>
      <c r="O24" s="21"/>
      <c r="P24" s="21"/>
    </row>
    <row r="25" spans="2:17">
      <c r="B25" s="21"/>
      <c r="C25" s="21"/>
      <c r="D25" s="21"/>
      <c r="E25" s="21"/>
      <c r="F25" s="21"/>
      <c r="G25" s="21"/>
      <c r="H25" s="21"/>
      <c r="J25" s="21"/>
      <c r="K25" s="21"/>
      <c r="L25" s="21"/>
      <c r="M25" s="21"/>
      <c r="N25" s="21"/>
      <c r="O25" s="21"/>
      <c r="P25" s="21"/>
    </row>
    <row r="26" spans="2:17">
      <c r="B26" s="21"/>
      <c r="C26" s="21"/>
      <c r="D26" s="21"/>
      <c r="E26" s="21"/>
      <c r="F26" s="21"/>
      <c r="G26" s="21"/>
      <c r="H26" s="21"/>
      <c r="J26" s="21"/>
      <c r="K26" s="21"/>
      <c r="L26" s="21"/>
      <c r="M26" s="21"/>
      <c r="N26" s="21"/>
      <c r="O26" s="21"/>
      <c r="P26" s="21"/>
    </row>
    <row r="27" spans="2:17">
      <c r="B27" s="21"/>
      <c r="C27" s="21"/>
      <c r="D27" s="21"/>
      <c r="E27" s="21"/>
      <c r="F27" s="21"/>
      <c r="G27" s="21"/>
      <c r="H27" s="21"/>
      <c r="J27" s="21"/>
      <c r="K27" s="21"/>
      <c r="L27" s="21"/>
      <c r="M27" s="21"/>
      <c r="N27" s="21"/>
      <c r="O27" s="21"/>
      <c r="P27" s="21"/>
    </row>
    <row r="28" spans="2:17">
      <c r="B28" s="21"/>
      <c r="C28" s="21"/>
      <c r="D28" s="21"/>
      <c r="E28" s="21"/>
      <c r="F28" s="21"/>
      <c r="G28" s="21"/>
      <c r="H28" s="21"/>
      <c r="J28" s="21"/>
      <c r="K28" s="21"/>
      <c r="L28" s="21"/>
      <c r="M28" s="21"/>
      <c r="N28" s="21"/>
      <c r="O28" s="21"/>
      <c r="P28" s="21"/>
    </row>
    <row r="29" spans="2:17">
      <c r="B29" s="21"/>
      <c r="C29" s="21"/>
      <c r="D29" s="21"/>
      <c r="E29" s="21"/>
      <c r="F29" s="21"/>
      <c r="G29" s="21"/>
      <c r="H29" s="21"/>
      <c r="J29" s="21"/>
      <c r="K29" s="21"/>
      <c r="L29" s="21"/>
      <c r="M29" s="21"/>
      <c r="N29" s="21"/>
      <c r="O29" s="21"/>
      <c r="P29" s="21"/>
    </row>
    <row r="30" spans="2:17">
      <c r="B30" s="21"/>
      <c r="C30" s="21"/>
      <c r="D30" s="21"/>
      <c r="E30" s="21"/>
      <c r="F30" s="21"/>
      <c r="G30" s="21"/>
      <c r="H30" s="21"/>
      <c r="J30" s="21"/>
      <c r="K30" s="21"/>
      <c r="L30" s="21"/>
      <c r="M30" s="21"/>
      <c r="N30" s="21"/>
      <c r="O30" s="21"/>
      <c r="P30" s="21"/>
    </row>
    <row r="31" spans="2:17">
      <c r="B31" s="21"/>
      <c r="C31" s="21"/>
      <c r="D31" s="21"/>
      <c r="E31" s="21"/>
      <c r="F31" s="21"/>
      <c r="G31" s="21"/>
      <c r="H31" s="21"/>
      <c r="J31" s="21"/>
      <c r="K31" s="21"/>
      <c r="L31" s="21"/>
      <c r="M31" s="21"/>
      <c r="N31" s="21"/>
      <c r="O31" s="21"/>
      <c r="P31" s="21"/>
    </row>
    <row r="32" spans="2:17">
      <c r="B32" s="21"/>
      <c r="C32" s="21"/>
      <c r="D32" s="21"/>
      <c r="E32" s="21"/>
      <c r="F32" s="21"/>
      <c r="G32" s="21"/>
      <c r="H32" s="21"/>
      <c r="J32" s="21"/>
      <c r="K32" s="21"/>
      <c r="L32" s="21"/>
      <c r="M32" s="21"/>
      <c r="N32" s="21"/>
      <c r="O32" s="21"/>
      <c r="P32" s="21"/>
    </row>
    <row r="33" spans="2:16">
      <c r="B33" s="21"/>
      <c r="C33" s="21"/>
      <c r="D33" s="21"/>
      <c r="E33" s="21"/>
      <c r="F33" s="21"/>
      <c r="G33" s="21"/>
      <c r="H33" s="21"/>
      <c r="J33" s="21"/>
      <c r="K33" s="21"/>
      <c r="L33" s="21"/>
      <c r="M33" s="21"/>
      <c r="N33" s="21"/>
      <c r="O33" s="21"/>
      <c r="P33" s="21"/>
    </row>
    <row r="34" spans="2:16">
      <c r="B34" s="21"/>
      <c r="C34" s="21"/>
      <c r="D34" s="21"/>
      <c r="E34" s="21"/>
      <c r="F34" s="21"/>
      <c r="G34" s="21"/>
      <c r="H34" s="21"/>
      <c r="J34" s="21"/>
      <c r="K34" s="21"/>
      <c r="L34" s="21"/>
      <c r="M34" s="21"/>
      <c r="N34" s="21"/>
      <c r="O34" s="21"/>
      <c r="P34" s="21"/>
    </row>
    <row r="35" spans="2:16">
      <c r="B35" s="21"/>
      <c r="C35" s="21"/>
      <c r="D35" s="21"/>
      <c r="E35" s="21"/>
      <c r="F35" s="21"/>
      <c r="G35" s="21"/>
      <c r="H35" s="21"/>
      <c r="J35" s="21"/>
      <c r="K35" s="21"/>
      <c r="L35" s="21"/>
      <c r="M35" s="21"/>
      <c r="N35" s="21"/>
      <c r="O35" s="21"/>
      <c r="P35" s="21"/>
    </row>
    <row r="36" spans="2:16">
      <c r="B36" s="21"/>
      <c r="C36" s="21"/>
      <c r="D36" s="21"/>
      <c r="E36" s="21"/>
      <c r="F36" s="21"/>
      <c r="G36" s="21"/>
      <c r="H36" s="21"/>
      <c r="J36" s="21"/>
      <c r="K36" s="21"/>
      <c r="L36" s="21"/>
      <c r="M36" s="21"/>
      <c r="N36" s="21"/>
      <c r="O36" s="21"/>
      <c r="P36" s="21"/>
    </row>
    <row r="37" spans="2:16">
      <c r="B37" s="21"/>
      <c r="C37" s="21"/>
      <c r="D37" s="21"/>
      <c r="E37" s="21"/>
      <c r="F37" s="21"/>
      <c r="G37" s="21"/>
      <c r="H37" s="21"/>
      <c r="J37" s="21"/>
      <c r="K37" s="21"/>
      <c r="L37" s="21"/>
      <c r="M37" s="21"/>
      <c r="N37" s="21"/>
      <c r="O37" s="21"/>
      <c r="P37" s="21"/>
    </row>
    <row r="39" spans="2:16">
      <c r="B39" s="20" t="s">
        <v>35</v>
      </c>
      <c r="C39" s="21"/>
      <c r="D39" s="21"/>
      <c r="E39" s="21"/>
      <c r="F39" s="21"/>
      <c r="G39" s="21"/>
      <c r="H39" s="21"/>
      <c r="J39" s="20" t="s">
        <v>36</v>
      </c>
      <c r="K39" s="21"/>
      <c r="L39" s="21"/>
      <c r="M39" s="21"/>
      <c r="N39" s="21"/>
      <c r="O39" s="21"/>
      <c r="P39" s="21"/>
    </row>
    <row r="40" spans="2:16">
      <c r="B40" s="21"/>
      <c r="C40" s="21"/>
      <c r="D40" s="21"/>
      <c r="E40" s="21"/>
      <c r="F40" s="21"/>
      <c r="G40" s="21"/>
      <c r="H40" s="21"/>
      <c r="J40" s="21"/>
      <c r="K40" s="21"/>
      <c r="L40" s="21"/>
      <c r="M40" s="21"/>
      <c r="N40" s="21"/>
      <c r="O40" s="21"/>
      <c r="P40" s="21"/>
    </row>
    <row r="41" spans="2:16">
      <c r="B41" s="21"/>
      <c r="C41" s="21"/>
      <c r="D41" s="21"/>
      <c r="E41" s="21"/>
      <c r="F41" s="21"/>
      <c r="G41" s="21"/>
      <c r="H41" s="21"/>
      <c r="J41" s="21"/>
      <c r="K41" s="21"/>
      <c r="L41" s="21"/>
      <c r="M41" s="21"/>
      <c r="N41" s="21"/>
      <c r="O41" s="21"/>
      <c r="P41" s="21"/>
    </row>
    <row r="42" spans="2:16">
      <c r="B42" s="21"/>
      <c r="C42" s="21"/>
      <c r="D42" s="21"/>
      <c r="E42" s="21"/>
      <c r="F42" s="21"/>
      <c r="G42" s="21"/>
      <c r="H42" s="21"/>
      <c r="J42" s="21"/>
      <c r="K42" s="21"/>
      <c r="L42" s="21"/>
      <c r="M42" s="21"/>
      <c r="N42" s="21"/>
      <c r="O42" s="21"/>
      <c r="P42" s="21"/>
    </row>
    <row r="43" spans="2:16">
      <c r="B43" s="21"/>
      <c r="C43" s="21"/>
      <c r="D43" s="21"/>
      <c r="E43" s="21"/>
      <c r="F43" s="21"/>
      <c r="G43" s="21"/>
      <c r="H43" s="21"/>
      <c r="J43" s="21"/>
      <c r="K43" s="21"/>
      <c r="L43" s="21"/>
      <c r="M43" s="21"/>
      <c r="N43" s="21"/>
      <c r="O43" s="21"/>
      <c r="P43" s="21"/>
    </row>
    <row r="44" spans="2:16">
      <c r="B44" s="21"/>
      <c r="C44" s="21"/>
      <c r="D44" s="21"/>
      <c r="E44" s="21"/>
      <c r="F44" s="21"/>
      <c r="G44" s="21"/>
      <c r="H44" s="21"/>
      <c r="J44" s="21"/>
      <c r="K44" s="21"/>
      <c r="L44" s="21"/>
      <c r="M44" s="21"/>
      <c r="N44" s="21"/>
      <c r="O44" s="21"/>
      <c r="P44" s="21"/>
    </row>
    <row r="45" spans="2:16">
      <c r="B45" s="21"/>
      <c r="C45" s="21"/>
      <c r="D45" s="21"/>
      <c r="E45" s="21"/>
      <c r="F45" s="21"/>
      <c r="G45" s="21"/>
      <c r="H45" s="21"/>
      <c r="J45" s="21"/>
      <c r="K45" s="21"/>
      <c r="L45" s="21"/>
      <c r="M45" s="21"/>
      <c r="N45" s="21"/>
      <c r="O45" s="21"/>
      <c r="P45" s="21"/>
    </row>
    <row r="46" spans="2:16">
      <c r="B46" s="21"/>
      <c r="C46" s="21"/>
      <c r="D46" s="21"/>
      <c r="E46" s="21"/>
      <c r="F46" s="21"/>
      <c r="G46" s="21"/>
      <c r="H46" s="21"/>
      <c r="J46" s="21"/>
      <c r="K46" s="21"/>
      <c r="L46" s="21"/>
      <c r="M46" s="21"/>
      <c r="N46" s="21"/>
      <c r="O46" s="21"/>
      <c r="P46" s="21"/>
    </row>
    <row r="47" spans="2:16">
      <c r="B47" s="21"/>
      <c r="C47" s="21"/>
      <c r="D47" s="21"/>
      <c r="E47" s="21"/>
      <c r="F47" s="21"/>
      <c r="G47" s="21"/>
      <c r="H47" s="21"/>
      <c r="J47" s="21"/>
      <c r="K47" s="21"/>
      <c r="L47" s="21"/>
      <c r="M47" s="21"/>
      <c r="N47" s="21"/>
      <c r="O47" s="21"/>
      <c r="P47" s="21"/>
    </row>
    <row r="48" spans="2:16">
      <c r="B48" s="21"/>
      <c r="C48" s="21"/>
      <c r="D48" s="21"/>
      <c r="E48" s="21"/>
      <c r="F48" s="21"/>
      <c r="G48" s="21"/>
      <c r="H48" s="21"/>
      <c r="J48" s="21"/>
      <c r="K48" s="21"/>
      <c r="L48" s="21"/>
      <c r="M48" s="21"/>
      <c r="N48" s="21"/>
      <c r="O48" s="21"/>
      <c r="P48" s="21"/>
    </row>
    <row r="49" spans="2:16">
      <c r="B49" s="21"/>
      <c r="C49" s="21"/>
      <c r="D49" s="21"/>
      <c r="E49" s="21"/>
      <c r="F49" s="21"/>
      <c r="G49" s="21"/>
      <c r="H49" s="21"/>
      <c r="J49" s="21"/>
      <c r="K49" s="21"/>
      <c r="L49" s="21"/>
      <c r="M49" s="21"/>
      <c r="N49" s="21"/>
      <c r="O49" s="21"/>
      <c r="P49" s="21"/>
    </row>
    <row r="50" spans="2:16">
      <c r="B50" s="21"/>
      <c r="C50" s="21"/>
      <c r="D50" s="21"/>
      <c r="E50" s="21"/>
      <c r="F50" s="21"/>
      <c r="G50" s="21"/>
      <c r="H50" s="21"/>
      <c r="J50" s="21"/>
      <c r="K50" s="21"/>
      <c r="L50" s="21"/>
      <c r="M50" s="21"/>
      <c r="N50" s="21"/>
      <c r="O50" s="21"/>
      <c r="P50" s="21"/>
    </row>
    <row r="51" spans="2:16">
      <c r="B51" s="21"/>
      <c r="C51" s="21"/>
      <c r="D51" s="21"/>
      <c r="E51" s="21"/>
      <c r="F51" s="21"/>
      <c r="G51" s="21"/>
      <c r="H51" s="21"/>
      <c r="J51" s="21"/>
      <c r="K51" s="21"/>
      <c r="L51" s="21"/>
      <c r="M51" s="21"/>
      <c r="N51" s="21"/>
      <c r="O51" s="21"/>
      <c r="P51" s="21"/>
    </row>
    <row r="53" spans="2:16">
      <c r="B53" s="20" t="s">
        <v>37</v>
      </c>
      <c r="C53" s="21"/>
      <c r="D53" s="21"/>
      <c r="E53" s="21"/>
      <c r="F53" s="21"/>
      <c r="G53" s="21"/>
      <c r="H53" s="21"/>
      <c r="J53" s="20" t="s">
        <v>38</v>
      </c>
      <c r="K53" s="21"/>
      <c r="L53" s="21"/>
      <c r="M53" s="21"/>
      <c r="N53" s="21"/>
      <c r="O53" s="21"/>
      <c r="P53" s="21"/>
    </row>
    <row r="54" spans="2:16">
      <c r="B54" s="21"/>
      <c r="C54" s="21"/>
      <c r="D54" s="21"/>
      <c r="E54" s="21"/>
      <c r="F54" s="21"/>
      <c r="G54" s="21"/>
      <c r="H54" s="21"/>
      <c r="J54" s="21"/>
      <c r="K54" s="21"/>
      <c r="L54" s="21"/>
      <c r="M54" s="21"/>
      <c r="N54" s="21"/>
      <c r="O54" s="21"/>
      <c r="P54" s="21"/>
    </row>
    <row r="55" spans="2:16">
      <c r="B55" s="21"/>
      <c r="C55" s="21"/>
      <c r="D55" s="21"/>
      <c r="E55" s="21"/>
      <c r="F55" s="21"/>
      <c r="G55" s="21"/>
      <c r="H55" s="21"/>
      <c r="J55" s="21"/>
      <c r="K55" s="21"/>
      <c r="L55" s="21"/>
      <c r="M55" s="21"/>
      <c r="N55" s="21"/>
      <c r="O55" s="21"/>
      <c r="P55" s="21"/>
    </row>
    <row r="56" spans="2:16">
      <c r="B56" s="21"/>
      <c r="C56" s="21"/>
      <c r="D56" s="21"/>
      <c r="E56" s="21"/>
      <c r="F56" s="21"/>
      <c r="G56" s="21"/>
      <c r="H56" s="21"/>
      <c r="J56" s="21"/>
      <c r="K56" s="21"/>
      <c r="L56" s="21"/>
      <c r="M56" s="21"/>
      <c r="N56" s="21"/>
      <c r="O56" s="21"/>
      <c r="P56" s="21"/>
    </row>
    <row r="57" spans="2:16">
      <c r="B57" s="21"/>
      <c r="C57" s="21"/>
      <c r="D57" s="21"/>
      <c r="E57" s="21"/>
      <c r="F57" s="21"/>
      <c r="G57" s="21"/>
      <c r="H57" s="21"/>
      <c r="J57" s="21"/>
      <c r="K57" s="21"/>
      <c r="L57" s="21"/>
      <c r="M57" s="21"/>
      <c r="N57" s="21"/>
      <c r="O57" s="21"/>
      <c r="P57" s="21"/>
    </row>
    <row r="58" spans="2:16">
      <c r="B58" s="21"/>
      <c r="C58" s="21"/>
      <c r="D58" s="21"/>
      <c r="E58" s="21"/>
      <c r="F58" s="21"/>
      <c r="G58" s="21"/>
      <c r="H58" s="21"/>
      <c r="J58" s="21"/>
      <c r="K58" s="21"/>
      <c r="L58" s="21"/>
      <c r="M58" s="21"/>
      <c r="N58" s="21"/>
      <c r="O58" s="21"/>
      <c r="P58" s="21"/>
    </row>
    <row r="59" spans="2:16">
      <c r="B59" s="21"/>
      <c r="C59" s="21"/>
      <c r="D59" s="21"/>
      <c r="E59" s="21"/>
      <c r="F59" s="21"/>
      <c r="G59" s="21"/>
      <c r="H59" s="21"/>
      <c r="J59" s="21"/>
      <c r="K59" s="21"/>
      <c r="L59" s="21"/>
      <c r="M59" s="21"/>
      <c r="N59" s="21"/>
      <c r="O59" s="21"/>
      <c r="P59" s="21"/>
    </row>
    <row r="60" spans="2:16">
      <c r="B60" s="21"/>
      <c r="C60" s="21"/>
      <c r="D60" s="21"/>
      <c r="E60" s="21"/>
      <c r="F60" s="21"/>
      <c r="G60" s="21"/>
      <c r="H60" s="21"/>
      <c r="J60" s="21"/>
      <c r="K60" s="21"/>
      <c r="L60" s="21"/>
      <c r="M60" s="21"/>
      <c r="N60" s="21"/>
      <c r="O60" s="21"/>
      <c r="P60" s="21"/>
    </row>
    <row r="61" spans="2:16">
      <c r="B61" s="21"/>
      <c r="C61" s="21"/>
      <c r="D61" s="21"/>
      <c r="E61" s="21"/>
      <c r="F61" s="21"/>
      <c r="G61" s="21"/>
      <c r="H61" s="21"/>
      <c r="J61" s="21"/>
      <c r="K61" s="21"/>
      <c r="L61" s="21"/>
      <c r="M61" s="21"/>
      <c r="N61" s="21"/>
      <c r="O61" s="21"/>
      <c r="P61" s="21"/>
    </row>
    <row r="62" spans="2:16">
      <c r="B62" s="21"/>
      <c r="C62" s="21"/>
      <c r="D62" s="21"/>
      <c r="E62" s="21"/>
      <c r="F62" s="21"/>
      <c r="G62" s="21"/>
      <c r="H62" s="21"/>
      <c r="J62" s="21"/>
      <c r="K62" s="21"/>
      <c r="L62" s="21"/>
      <c r="M62" s="21"/>
      <c r="N62" s="21"/>
      <c r="O62" s="21"/>
      <c r="P62" s="21"/>
    </row>
    <row r="63" spans="2:16">
      <c r="B63" s="21"/>
      <c r="C63" s="21"/>
      <c r="D63" s="21"/>
      <c r="E63" s="21"/>
      <c r="F63" s="21"/>
      <c r="G63" s="21"/>
      <c r="H63" s="21"/>
      <c r="J63" s="21"/>
      <c r="K63" s="21"/>
      <c r="L63" s="21"/>
      <c r="M63" s="21"/>
      <c r="N63" s="21"/>
      <c r="O63" s="21"/>
      <c r="P63" s="21"/>
    </row>
    <row r="64" spans="2:16">
      <c r="B64" s="21"/>
      <c r="C64" s="21"/>
      <c r="D64" s="21"/>
      <c r="E64" s="21"/>
      <c r="F64" s="21"/>
      <c r="G64" s="21"/>
      <c r="H64" s="21"/>
      <c r="J64" s="21"/>
      <c r="K64" s="21"/>
      <c r="L64" s="21"/>
      <c r="M64" s="21"/>
      <c r="N64" s="21"/>
      <c r="O64" s="21"/>
      <c r="P64" s="21"/>
    </row>
    <row r="65" spans="2:16">
      <c r="B65" s="21"/>
      <c r="C65" s="21"/>
      <c r="D65" s="21"/>
      <c r="E65" s="21"/>
      <c r="F65" s="21"/>
      <c r="G65" s="21"/>
      <c r="H65" s="21"/>
      <c r="J65" s="21"/>
      <c r="K65" s="21"/>
      <c r="L65" s="21"/>
      <c r="M65" s="21"/>
      <c r="N65" s="21"/>
      <c r="O65" s="21"/>
      <c r="P65" s="21"/>
    </row>
    <row r="66" spans="2:16">
      <c r="B66" s="21"/>
      <c r="C66" s="21"/>
      <c r="D66" s="21"/>
      <c r="E66" s="21"/>
      <c r="F66" s="21"/>
      <c r="G66" s="21"/>
      <c r="H66" s="21"/>
      <c r="J66" s="21"/>
      <c r="K66" s="21"/>
      <c r="L66" s="21"/>
      <c r="M66" s="21"/>
      <c r="N66" s="21"/>
      <c r="O66" s="21"/>
      <c r="P66" s="21"/>
    </row>
    <row r="67" spans="2:16">
      <c r="B67" s="21"/>
      <c r="C67" s="21"/>
      <c r="D67" s="21"/>
      <c r="E67" s="21"/>
      <c r="F67" s="21"/>
      <c r="G67" s="21"/>
      <c r="H67" s="21"/>
      <c r="J67" s="21"/>
      <c r="K67" s="21"/>
      <c r="L67" s="21"/>
      <c r="M67" s="21"/>
      <c r="N67" s="21"/>
      <c r="O67" s="21"/>
      <c r="P67" s="21"/>
    </row>
    <row r="69" spans="2:16">
      <c r="B69" s="20" t="s">
        <v>39</v>
      </c>
      <c r="C69" s="21"/>
      <c r="D69" s="21"/>
      <c r="E69" s="21"/>
      <c r="F69" s="21"/>
      <c r="G69" s="21"/>
      <c r="H69" s="21"/>
      <c r="J69" s="20" t="s">
        <v>1113</v>
      </c>
      <c r="K69" s="21"/>
      <c r="L69" s="21"/>
      <c r="M69" s="21"/>
      <c r="N69" s="21"/>
      <c r="O69" s="21"/>
      <c r="P69" s="21"/>
    </row>
    <row r="70" spans="2:16">
      <c r="B70" s="21"/>
      <c r="C70" s="21"/>
      <c r="D70" s="21"/>
      <c r="E70" s="21"/>
      <c r="F70" s="21"/>
      <c r="G70" s="21"/>
      <c r="H70" s="21"/>
      <c r="J70" s="21"/>
      <c r="K70" s="21"/>
      <c r="L70" s="21"/>
      <c r="M70" s="21"/>
      <c r="N70" s="21"/>
      <c r="O70" s="21"/>
      <c r="P70" s="21"/>
    </row>
    <row r="71" spans="2:16">
      <c r="B71" s="21"/>
      <c r="C71" s="21"/>
      <c r="D71" s="21"/>
      <c r="E71" s="21"/>
      <c r="F71" s="21"/>
      <c r="G71" s="21"/>
      <c r="H71" s="21"/>
      <c r="J71" s="21"/>
      <c r="K71" s="21"/>
      <c r="L71" s="21"/>
      <c r="M71" s="21"/>
      <c r="N71" s="21"/>
      <c r="O71" s="21"/>
      <c r="P71" s="21"/>
    </row>
    <row r="72" spans="2:16">
      <c r="B72" s="21"/>
      <c r="C72" s="21"/>
      <c r="D72" s="21"/>
      <c r="E72" s="21"/>
      <c r="F72" s="21"/>
      <c r="G72" s="21"/>
      <c r="H72" s="21"/>
      <c r="J72" s="21"/>
      <c r="K72" s="21"/>
      <c r="L72" s="21"/>
      <c r="M72" s="21"/>
      <c r="N72" s="21"/>
      <c r="O72" s="21"/>
      <c r="P72" s="21"/>
    </row>
    <row r="73" spans="2:16">
      <c r="B73" s="21"/>
      <c r="C73" s="21"/>
      <c r="D73" s="21"/>
      <c r="E73" s="21"/>
      <c r="F73" s="21"/>
      <c r="G73" s="21"/>
      <c r="H73" s="21"/>
      <c r="J73" s="21"/>
      <c r="K73" s="21"/>
      <c r="L73" s="21"/>
      <c r="M73" s="21"/>
      <c r="N73" s="21"/>
      <c r="O73" s="21"/>
      <c r="P73" s="21"/>
    </row>
    <row r="74" spans="2:16">
      <c r="B74" s="21"/>
      <c r="C74" s="21"/>
      <c r="D74" s="21"/>
      <c r="E74" s="21"/>
      <c r="F74" s="21"/>
      <c r="G74" s="21"/>
      <c r="H74" s="21"/>
      <c r="J74" s="21"/>
      <c r="K74" s="21"/>
      <c r="L74" s="21"/>
      <c r="M74" s="21"/>
      <c r="N74" s="21"/>
      <c r="O74" s="21"/>
      <c r="P74" s="21"/>
    </row>
    <row r="75" spans="2:16">
      <c r="B75" s="21"/>
      <c r="C75" s="21"/>
      <c r="D75" s="21"/>
      <c r="E75" s="21"/>
      <c r="F75" s="21"/>
      <c r="G75" s="21"/>
      <c r="H75" s="21"/>
      <c r="J75" s="21"/>
      <c r="K75" s="21"/>
      <c r="L75" s="21"/>
      <c r="M75" s="21"/>
      <c r="N75" s="21"/>
      <c r="O75" s="21"/>
      <c r="P75" s="21"/>
    </row>
    <row r="76" spans="2:16">
      <c r="B76" s="21"/>
      <c r="C76" s="21"/>
      <c r="D76" s="21"/>
      <c r="E76" s="21"/>
      <c r="F76" s="21"/>
      <c r="G76" s="21"/>
      <c r="H76" s="21"/>
      <c r="J76" s="21"/>
      <c r="K76" s="21"/>
      <c r="L76" s="21"/>
      <c r="M76" s="21"/>
      <c r="N76" s="21"/>
      <c r="O76" s="21"/>
      <c r="P76" s="21"/>
    </row>
    <row r="77" spans="2:16">
      <c r="B77" s="21"/>
      <c r="C77" s="21"/>
      <c r="D77" s="21"/>
      <c r="E77" s="21"/>
      <c r="F77" s="21"/>
      <c r="G77" s="21"/>
      <c r="H77" s="21"/>
      <c r="J77" s="21"/>
      <c r="K77" s="21"/>
      <c r="L77" s="21"/>
      <c r="M77" s="21"/>
      <c r="N77" s="21"/>
      <c r="O77" s="21"/>
      <c r="P77" s="21"/>
    </row>
    <row r="78" spans="2:16">
      <c r="B78" s="21"/>
      <c r="C78" s="21"/>
      <c r="D78" s="21"/>
      <c r="E78" s="21"/>
      <c r="F78" s="21"/>
      <c r="G78" s="21"/>
      <c r="H78" s="21"/>
      <c r="J78" s="21"/>
      <c r="K78" s="21"/>
      <c r="L78" s="21"/>
      <c r="M78" s="21"/>
      <c r="N78" s="21"/>
      <c r="O78" s="21"/>
      <c r="P78" s="21"/>
    </row>
    <row r="79" spans="2:16">
      <c r="B79" s="21"/>
      <c r="C79" s="21"/>
      <c r="D79" s="21"/>
      <c r="E79" s="21"/>
      <c r="F79" s="21"/>
      <c r="G79" s="21"/>
      <c r="H79" s="21"/>
      <c r="J79" s="21"/>
      <c r="K79" s="21"/>
      <c r="L79" s="21"/>
      <c r="M79" s="21"/>
      <c r="N79" s="21"/>
      <c r="O79" s="21"/>
      <c r="P79" s="21"/>
    </row>
    <row r="80" spans="2:16">
      <c r="B80" s="21"/>
      <c r="C80" s="21"/>
      <c r="D80" s="21"/>
      <c r="E80" s="21"/>
      <c r="F80" s="21"/>
      <c r="G80" s="21"/>
      <c r="H80" s="21"/>
      <c r="J80" s="21"/>
      <c r="K80" s="21"/>
      <c r="L80" s="21"/>
      <c r="M80" s="21"/>
      <c r="N80" s="21"/>
      <c r="O80" s="21"/>
      <c r="P80" s="21"/>
    </row>
    <row r="81" spans="2:16">
      <c r="B81" s="21"/>
      <c r="C81" s="21"/>
      <c r="D81" s="21"/>
      <c r="E81" s="21"/>
      <c r="F81" s="21"/>
      <c r="G81" s="21"/>
      <c r="H81" s="21"/>
      <c r="J81" s="21"/>
      <c r="K81" s="21"/>
      <c r="L81" s="21"/>
      <c r="M81" s="21"/>
      <c r="N81" s="21"/>
      <c r="O81" s="21"/>
      <c r="P81" s="21"/>
    </row>
    <row r="82" spans="2:16">
      <c r="B82" s="21"/>
      <c r="C82" s="21"/>
      <c r="D82" s="21"/>
      <c r="E82" s="21"/>
      <c r="F82" s="21"/>
      <c r="G82" s="21"/>
      <c r="H82" s="21"/>
      <c r="J82" s="21"/>
      <c r="K82" s="21"/>
      <c r="L82" s="21"/>
      <c r="M82" s="21"/>
      <c r="N82" s="21"/>
      <c r="O82" s="21"/>
      <c r="P82" s="21"/>
    </row>
    <row r="83" spans="2:16">
      <c r="B83" s="21"/>
      <c r="C83" s="21"/>
      <c r="D83" s="21"/>
      <c r="E83" s="21"/>
      <c r="F83" s="21"/>
      <c r="G83" s="21"/>
      <c r="H83" s="21"/>
      <c r="J83" s="21"/>
      <c r="K83" s="21"/>
      <c r="L83" s="21"/>
      <c r="M83" s="21"/>
      <c r="N83" s="21"/>
      <c r="O83" s="21"/>
      <c r="P83" s="21"/>
    </row>
  </sheetData>
  <mergeCells count="33">
    <mergeCell ref="Q18:Q19"/>
    <mergeCell ref="G18:I19"/>
    <mergeCell ref="K18:K19"/>
    <mergeCell ref="B1:H1"/>
    <mergeCell ref="B39:H51"/>
    <mergeCell ref="B15:C16"/>
    <mergeCell ref="B12:C13"/>
    <mergeCell ref="B9:C10"/>
    <mergeCell ref="G9:I10"/>
    <mergeCell ref="G12:I13"/>
    <mergeCell ref="G15:I16"/>
    <mergeCell ref="E18:E19"/>
    <mergeCell ref="B18:C19"/>
    <mergeCell ref="Q15:Q16"/>
    <mergeCell ref="Q9:Q10"/>
    <mergeCell ref="M9:O10"/>
    <mergeCell ref="E12:E13"/>
    <mergeCell ref="K12:K13"/>
    <mergeCell ref="Q12:Q13"/>
    <mergeCell ref="J39:P51"/>
    <mergeCell ref="B21:H37"/>
    <mergeCell ref="K9:K10"/>
    <mergeCell ref="E9:E10"/>
    <mergeCell ref="B69:H83"/>
    <mergeCell ref="B53:H67"/>
    <mergeCell ref="E15:E16"/>
    <mergeCell ref="J21:P37"/>
    <mergeCell ref="J53:P67"/>
    <mergeCell ref="K15:K16"/>
    <mergeCell ref="M12:O13"/>
    <mergeCell ref="M15:O16"/>
    <mergeCell ref="J69:P83"/>
    <mergeCell ref="M18:O19"/>
  </mergeCells>
  <pageMargins left="0.75" right="0.75" top="1" bottom="1" header="0.5" footer="0.5"/>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24"/>
  <sheetViews>
    <sheetView workbookViewId="0">
      <selection activeCell="M14" sqref="M14"/>
    </sheetView>
  </sheetViews>
  <sheetFormatPr defaultRowHeight="14.4"/>
  <cols>
    <col min="1" max="1" width="20.6640625" customWidth="1"/>
    <col min="2" max="2" width="14.44140625" style="8" bestFit="1" customWidth="1"/>
    <col min="3" max="3" width="15.44140625" bestFit="1" customWidth="1"/>
    <col min="4" max="4" width="4.5546875" customWidth="1"/>
    <col min="5" max="5" width="21.109375" bestFit="1" customWidth="1"/>
    <col min="6" max="6" width="15.77734375" style="8" bestFit="1" customWidth="1"/>
    <col min="7" max="7" width="9.109375" style="8" bestFit="1" customWidth="1"/>
    <col min="8" max="8" width="11" style="8" bestFit="1" customWidth="1"/>
    <col min="9" max="9" width="8.88671875" style="8" bestFit="1" customWidth="1"/>
    <col min="10" max="10" width="12.77734375" bestFit="1" customWidth="1"/>
    <col min="11" max="11" width="14.44140625" style="8" bestFit="1" customWidth="1"/>
    <col min="12" max="12" width="4.44140625" style="8" customWidth="1"/>
    <col min="13" max="13" width="19.33203125" customWidth="1"/>
    <col min="14" max="14" width="16" customWidth="1"/>
  </cols>
  <sheetData>
    <row r="1" spans="1:12">
      <c r="A1" s="2" t="s">
        <v>15</v>
      </c>
      <c r="E1" s="2" t="s">
        <v>18</v>
      </c>
      <c r="J1" s="2" t="s">
        <v>20</v>
      </c>
    </row>
    <row r="2" spans="1:12">
      <c r="A2" s="6" t="s">
        <v>1093</v>
      </c>
      <c r="B2" t="s">
        <v>1092</v>
      </c>
      <c r="C2" t="s">
        <v>1095</v>
      </c>
      <c r="E2" s="6" t="s">
        <v>1095</v>
      </c>
      <c r="F2" s="6" t="s">
        <v>1108</v>
      </c>
      <c r="G2"/>
      <c r="H2"/>
      <c r="I2"/>
      <c r="J2" s="6" t="s">
        <v>1093</v>
      </c>
      <c r="K2" t="s">
        <v>1095</v>
      </c>
      <c r="L2"/>
    </row>
    <row r="3" spans="1:12">
      <c r="A3" s="7" t="s">
        <v>116</v>
      </c>
      <c r="B3" s="8">
        <v>164150</v>
      </c>
      <c r="C3" s="10">
        <v>6.5479538392191117E-2</v>
      </c>
      <c r="D3" s="10"/>
      <c r="E3" s="6" t="s">
        <v>1093</v>
      </c>
      <c r="F3" t="s">
        <v>46</v>
      </c>
      <c r="G3" t="s">
        <v>45</v>
      </c>
      <c r="H3" t="s">
        <v>1094</v>
      </c>
      <c r="I3"/>
      <c r="J3" s="7" t="s">
        <v>1096</v>
      </c>
      <c r="K3" s="8">
        <v>185790</v>
      </c>
      <c r="L3"/>
    </row>
    <row r="4" spans="1:12">
      <c r="A4" s="7" t="s">
        <v>60</v>
      </c>
      <c r="B4" s="8">
        <v>180380</v>
      </c>
      <c r="C4" s="10">
        <v>7.1953695614885377E-2</v>
      </c>
      <c r="D4" s="10"/>
      <c r="E4" s="7" t="s">
        <v>116</v>
      </c>
      <c r="F4" s="8">
        <v>61310</v>
      </c>
      <c r="G4" s="8">
        <v>102840</v>
      </c>
      <c r="H4" s="8">
        <v>164150</v>
      </c>
      <c r="I4"/>
      <c r="J4" s="7" t="s">
        <v>1097</v>
      </c>
      <c r="K4" s="8">
        <v>199740</v>
      </c>
      <c r="L4"/>
    </row>
    <row r="5" spans="1:12">
      <c r="A5" s="7" t="s">
        <v>80</v>
      </c>
      <c r="B5" s="8">
        <v>193110</v>
      </c>
      <c r="C5" s="10">
        <v>7.7031700633055297E-2</v>
      </c>
      <c r="D5" s="10"/>
      <c r="E5" s="7" t="s">
        <v>60</v>
      </c>
      <c r="F5" s="8">
        <v>90760</v>
      </c>
      <c r="G5" s="8">
        <v>89620</v>
      </c>
      <c r="H5" s="8">
        <v>180380</v>
      </c>
      <c r="I5"/>
      <c r="J5" s="7" t="s">
        <v>1098</v>
      </c>
      <c r="K5" s="8">
        <v>206860</v>
      </c>
      <c r="L5"/>
    </row>
    <row r="6" spans="1:12">
      <c r="A6" s="7" t="s">
        <v>72</v>
      </c>
      <c r="B6" s="8">
        <v>217490</v>
      </c>
      <c r="C6" s="10">
        <v>8.6756897989141921E-2</v>
      </c>
      <c r="D6" s="10"/>
      <c r="E6" s="7" t="s">
        <v>80</v>
      </c>
      <c r="F6" s="8">
        <v>98290</v>
      </c>
      <c r="G6" s="8">
        <v>94820</v>
      </c>
      <c r="H6" s="8">
        <v>193110</v>
      </c>
      <c r="I6"/>
      <c r="J6" s="7" t="s">
        <v>1099</v>
      </c>
      <c r="K6" s="8">
        <v>222250</v>
      </c>
      <c r="L6"/>
    </row>
    <row r="7" spans="1:12">
      <c r="A7" s="7" t="s">
        <v>67</v>
      </c>
      <c r="B7" s="8">
        <v>206750</v>
      </c>
      <c r="C7" s="10">
        <v>8.2472705224401546E-2</v>
      </c>
      <c r="D7" s="10"/>
      <c r="E7" s="7" t="s">
        <v>72</v>
      </c>
      <c r="F7" s="8">
        <v>78850</v>
      </c>
      <c r="G7" s="8">
        <v>138640</v>
      </c>
      <c r="H7" s="8">
        <v>217490</v>
      </c>
      <c r="I7"/>
      <c r="J7" s="7" t="s">
        <v>1100</v>
      </c>
      <c r="K7" s="8">
        <v>233290</v>
      </c>
      <c r="L7"/>
    </row>
    <row r="8" spans="1:12">
      <c r="A8" s="7" t="s">
        <v>94</v>
      </c>
      <c r="B8" s="8">
        <v>220700</v>
      </c>
      <c r="C8" s="10">
        <v>8.8037369011005673E-2</v>
      </c>
      <c r="D8" s="10"/>
      <c r="E8" s="7" t="s">
        <v>67</v>
      </c>
      <c r="F8" s="8">
        <v>118530</v>
      </c>
      <c r="G8" s="8">
        <v>88220</v>
      </c>
      <c r="H8" s="8">
        <v>206750</v>
      </c>
      <c r="I8"/>
      <c r="J8" s="7" t="s">
        <v>1101</v>
      </c>
      <c r="K8" s="8">
        <v>176050</v>
      </c>
      <c r="L8"/>
    </row>
    <row r="9" spans="1:12">
      <c r="A9" s="7" t="s">
        <v>51</v>
      </c>
      <c r="B9" s="8">
        <v>168560</v>
      </c>
      <c r="C9" s="10">
        <v>6.7238690169891785E-2</v>
      </c>
      <c r="D9" s="10"/>
      <c r="E9" s="7" t="s">
        <v>94</v>
      </c>
      <c r="F9" s="8">
        <v>102000</v>
      </c>
      <c r="G9" s="8">
        <v>118700</v>
      </c>
      <c r="H9" s="8">
        <v>220700</v>
      </c>
      <c r="I9"/>
      <c r="J9" s="7" t="s">
        <v>1102</v>
      </c>
      <c r="K9" s="8">
        <v>221710</v>
      </c>
      <c r="L9"/>
    </row>
    <row r="10" spans="1:12">
      <c r="A10" s="7" t="s">
        <v>90</v>
      </c>
      <c r="B10" s="8">
        <v>211950</v>
      </c>
      <c r="C10" s="10">
        <v>8.4546988499694845E-2</v>
      </c>
      <c r="D10" s="10"/>
      <c r="E10" s="7" t="s">
        <v>51</v>
      </c>
      <c r="F10" s="8">
        <v>102540</v>
      </c>
      <c r="G10" s="8">
        <v>66020</v>
      </c>
      <c r="H10" s="8">
        <v>168560</v>
      </c>
      <c r="I10"/>
      <c r="J10" s="7" t="s">
        <v>1103</v>
      </c>
      <c r="K10" s="8">
        <v>169060</v>
      </c>
      <c r="L10"/>
    </row>
    <row r="11" spans="1:12">
      <c r="A11" s="7" t="s">
        <v>109</v>
      </c>
      <c r="B11" s="8">
        <v>266050</v>
      </c>
      <c r="C11" s="10">
        <v>0.10612751257534235</v>
      </c>
      <c r="D11" s="10"/>
      <c r="E11" s="7" t="s">
        <v>90</v>
      </c>
      <c r="F11" s="8">
        <v>88870</v>
      </c>
      <c r="G11" s="8">
        <v>123080</v>
      </c>
      <c r="H11" s="8">
        <v>211950</v>
      </c>
      <c r="I11"/>
      <c r="J11" s="7" t="s">
        <v>1104</v>
      </c>
      <c r="K11" s="8">
        <v>210320</v>
      </c>
      <c r="L11"/>
    </row>
    <row r="12" spans="1:12">
      <c r="A12" s="7" t="s">
        <v>97</v>
      </c>
      <c r="B12" s="8">
        <v>201350</v>
      </c>
      <c r="C12" s="10">
        <v>8.0318641823135445E-2</v>
      </c>
      <c r="D12" s="10"/>
      <c r="E12" s="7" t="s">
        <v>109</v>
      </c>
      <c r="F12" s="8">
        <v>129380</v>
      </c>
      <c r="G12" s="8">
        <v>136670</v>
      </c>
      <c r="H12" s="8">
        <v>266050</v>
      </c>
      <c r="I12"/>
      <c r="J12" s="7" t="s">
        <v>1105</v>
      </c>
      <c r="K12" s="8">
        <v>229450</v>
      </c>
      <c r="L12"/>
    </row>
    <row r="13" spans="1:12">
      <c r="A13" s="7" t="s">
        <v>101</v>
      </c>
      <c r="B13" s="8">
        <v>230020</v>
      </c>
      <c r="C13" s="10">
        <v>9.1755122881339024E-2</v>
      </c>
      <c r="D13" s="10"/>
      <c r="E13" s="7" t="s">
        <v>97</v>
      </c>
      <c r="F13" s="8">
        <v>88390</v>
      </c>
      <c r="G13" s="8">
        <v>112960</v>
      </c>
      <c r="H13" s="8">
        <v>201350</v>
      </c>
      <c r="I13"/>
      <c r="J13" s="7" t="s">
        <v>1106</v>
      </c>
      <c r="K13" s="8">
        <v>219390</v>
      </c>
      <c r="L13"/>
    </row>
    <row r="14" spans="1:12">
      <c r="A14" s="7" t="s">
        <v>85</v>
      </c>
      <c r="B14" s="8">
        <v>246380</v>
      </c>
      <c r="C14" s="10">
        <v>9.8281137185915621E-2</v>
      </c>
      <c r="D14" s="10"/>
      <c r="E14" s="7" t="s">
        <v>101</v>
      </c>
      <c r="F14" s="8">
        <v>130600</v>
      </c>
      <c r="G14" s="8">
        <v>99420</v>
      </c>
      <c r="H14" s="8">
        <v>230020</v>
      </c>
      <c r="I14"/>
      <c r="J14" s="7" t="s">
        <v>1107</v>
      </c>
      <c r="K14" s="8">
        <v>232980</v>
      </c>
      <c r="L14"/>
    </row>
    <row r="15" spans="1:12">
      <c r="A15" s="7" t="s">
        <v>1094</v>
      </c>
      <c r="B15" s="8">
        <v>2506890</v>
      </c>
      <c r="C15" s="10">
        <v>1</v>
      </c>
      <c r="D15" s="10"/>
      <c r="E15" s="7" t="s">
        <v>85</v>
      </c>
      <c r="F15" s="8">
        <v>130280</v>
      </c>
      <c r="G15" s="8">
        <v>116100</v>
      </c>
      <c r="H15" s="8">
        <v>246380</v>
      </c>
      <c r="I15"/>
      <c r="J15" s="7" t="s">
        <v>1094</v>
      </c>
      <c r="K15" s="8">
        <v>2506890</v>
      </c>
      <c r="L15"/>
    </row>
    <row r="16" spans="1:12">
      <c r="A16" s="7"/>
      <c r="E16" s="7" t="s">
        <v>1094</v>
      </c>
      <c r="F16" s="8">
        <v>1219800</v>
      </c>
      <c r="G16" s="8">
        <v>1287090</v>
      </c>
      <c r="H16" s="8">
        <v>2506890</v>
      </c>
      <c r="I16"/>
    </row>
    <row r="17" spans="1:14">
      <c r="A17" s="2" t="s">
        <v>16</v>
      </c>
      <c r="F17"/>
      <c r="G17"/>
      <c r="H17"/>
      <c r="I17"/>
      <c r="J17" s="2" t="s">
        <v>21</v>
      </c>
      <c r="M17" s="17" t="s">
        <v>21</v>
      </c>
      <c r="N17" s="14"/>
    </row>
    <row r="18" spans="1:14">
      <c r="A18" s="6" t="s">
        <v>1093</v>
      </c>
      <c r="B18" t="s">
        <v>1092</v>
      </c>
      <c r="C18" t="s">
        <v>1095</v>
      </c>
      <c r="E18" s="2" t="s">
        <v>19</v>
      </c>
      <c r="F18"/>
      <c r="G18"/>
      <c r="J18" s="6" t="s">
        <v>1093</v>
      </c>
      <c r="K18" t="s">
        <v>1095</v>
      </c>
      <c r="L18"/>
      <c r="M18" s="11" t="s">
        <v>1093</v>
      </c>
      <c r="N18" s="11" t="s">
        <v>1095</v>
      </c>
    </row>
    <row r="19" spans="1:14">
      <c r="A19" s="7" t="s">
        <v>86</v>
      </c>
      <c r="B19" s="8">
        <v>235220</v>
      </c>
      <c r="C19" s="10">
        <v>9.3829406156632322E-2</v>
      </c>
      <c r="E19" s="6" t="s">
        <v>1092</v>
      </c>
      <c r="F19" s="6" t="s">
        <v>1108</v>
      </c>
      <c r="G19"/>
      <c r="H19"/>
      <c r="J19" s="7">
        <v>1</v>
      </c>
      <c r="K19" s="9">
        <v>437660</v>
      </c>
      <c r="L19"/>
      <c r="M19" s="12">
        <v>1</v>
      </c>
      <c r="N19" s="13">
        <v>437660</v>
      </c>
    </row>
    <row r="20" spans="1:14">
      <c r="A20" s="7" t="s">
        <v>95</v>
      </c>
      <c r="B20" s="8">
        <v>252200</v>
      </c>
      <c r="C20" s="10">
        <v>0.10060273885172465</v>
      </c>
      <c r="E20" s="6" t="s">
        <v>1093</v>
      </c>
      <c r="F20" t="s">
        <v>55</v>
      </c>
      <c r="G20" t="s">
        <v>70</v>
      </c>
      <c r="H20" t="s">
        <v>1094</v>
      </c>
      <c r="J20" s="7">
        <v>2</v>
      </c>
      <c r="K20" s="9">
        <v>510190</v>
      </c>
      <c r="L20"/>
      <c r="M20" s="12">
        <v>2</v>
      </c>
      <c r="N20" s="13">
        <v>510190</v>
      </c>
    </row>
    <row r="21" spans="1:14">
      <c r="A21" s="7" t="s">
        <v>114</v>
      </c>
      <c r="B21" s="8">
        <v>216670</v>
      </c>
      <c r="C21" s="10">
        <v>8.6429799472653362E-2</v>
      </c>
      <c r="E21" s="7" t="s">
        <v>116</v>
      </c>
      <c r="F21" s="8">
        <v>89700</v>
      </c>
      <c r="G21" s="8">
        <v>74450</v>
      </c>
      <c r="H21" s="8">
        <v>164150</v>
      </c>
      <c r="J21" s="7">
        <v>3</v>
      </c>
      <c r="K21" s="9">
        <v>774280</v>
      </c>
      <c r="L21"/>
      <c r="M21" s="12">
        <v>3</v>
      </c>
      <c r="N21" s="13">
        <v>774280</v>
      </c>
    </row>
    <row r="22" spans="1:14">
      <c r="A22" s="7" t="s">
        <v>68</v>
      </c>
      <c r="B22" s="8">
        <v>239300</v>
      </c>
      <c r="C22" s="10">
        <v>9.5456920726477823E-2</v>
      </c>
      <c r="E22" s="7" t="s">
        <v>60</v>
      </c>
      <c r="F22" s="8">
        <v>102370</v>
      </c>
      <c r="G22" s="8">
        <v>78010</v>
      </c>
      <c r="H22" s="8">
        <v>180380</v>
      </c>
      <c r="J22" s="7">
        <v>4</v>
      </c>
      <c r="K22" s="9">
        <v>539200</v>
      </c>
      <c r="L22"/>
      <c r="M22" s="12">
        <v>4</v>
      </c>
      <c r="N22" s="13">
        <v>539200</v>
      </c>
    </row>
    <row r="23" spans="1:14">
      <c r="A23" s="7" t="s">
        <v>77</v>
      </c>
      <c r="B23" s="8">
        <v>270570</v>
      </c>
      <c r="C23" s="10">
        <v>0.10793054342232807</v>
      </c>
      <c r="E23" s="7" t="s">
        <v>80</v>
      </c>
      <c r="F23" s="8">
        <v>86230</v>
      </c>
      <c r="G23" s="8">
        <v>106880</v>
      </c>
      <c r="H23" s="8">
        <v>193110</v>
      </c>
      <c r="J23" s="7">
        <v>5</v>
      </c>
      <c r="K23" s="9">
        <v>245560</v>
      </c>
      <c r="L23"/>
      <c r="M23" s="12">
        <v>5</v>
      </c>
      <c r="N23" s="13">
        <v>245560</v>
      </c>
    </row>
    <row r="24" spans="1:14">
      <c r="A24" s="7" t="s">
        <v>52</v>
      </c>
      <c r="B24" s="8">
        <v>246610</v>
      </c>
      <c r="C24" s="10">
        <v>9.8372884330784352E-2</v>
      </c>
      <c r="E24" s="7" t="s">
        <v>72</v>
      </c>
      <c r="F24" s="8">
        <v>114640</v>
      </c>
      <c r="G24" s="8">
        <v>102850</v>
      </c>
      <c r="H24" s="8">
        <v>217490</v>
      </c>
      <c r="J24" s="7" t="s">
        <v>1094</v>
      </c>
      <c r="K24" s="9">
        <v>2506890</v>
      </c>
      <c r="L24"/>
      <c r="M24" s="12" t="s">
        <v>1094</v>
      </c>
      <c r="N24" s="13">
        <v>2506890</v>
      </c>
    </row>
    <row r="25" spans="1:14">
      <c r="A25" s="7" t="s">
        <v>81</v>
      </c>
      <c r="B25" s="8">
        <v>260470</v>
      </c>
      <c r="C25" s="10">
        <v>0.10390164706070071</v>
      </c>
      <c r="E25" s="7" t="s">
        <v>67</v>
      </c>
      <c r="F25" s="8">
        <v>101220</v>
      </c>
      <c r="G25" s="8">
        <v>105530</v>
      </c>
      <c r="H25" s="8">
        <v>206750</v>
      </c>
      <c r="K25"/>
      <c r="L25"/>
    </row>
    <row r="26" spans="1:14">
      <c r="A26" s="7" t="s">
        <v>61</v>
      </c>
      <c r="B26" s="8">
        <v>250090</v>
      </c>
      <c r="C26" s="10">
        <v>9.9761058522711402E-2</v>
      </c>
      <c r="E26" s="7" t="s">
        <v>94</v>
      </c>
      <c r="F26" s="8">
        <v>97840</v>
      </c>
      <c r="G26" s="8">
        <v>122860</v>
      </c>
      <c r="H26" s="8">
        <v>220700</v>
      </c>
      <c r="J26" s="18" t="s">
        <v>1112</v>
      </c>
      <c r="K26"/>
      <c r="L26"/>
    </row>
    <row r="27" spans="1:14">
      <c r="A27" s="7" t="s">
        <v>73</v>
      </c>
      <c r="B27" s="8">
        <v>309040</v>
      </c>
      <c r="C27" s="10">
        <v>0.12327625065319978</v>
      </c>
      <c r="E27" s="7" t="s">
        <v>51</v>
      </c>
      <c r="F27" s="8">
        <v>74670</v>
      </c>
      <c r="G27" s="8">
        <v>93890</v>
      </c>
      <c r="H27" s="8">
        <v>168560</v>
      </c>
      <c r="J27" s="6" t="s">
        <v>1093</v>
      </c>
      <c r="K27" s="8" t="s">
        <v>1092</v>
      </c>
      <c r="L27"/>
    </row>
    <row r="28" spans="1:14">
      <c r="A28" s="7" t="s">
        <v>98</v>
      </c>
      <c r="B28" s="8">
        <v>226720</v>
      </c>
      <c r="C28" s="10">
        <v>9.0438750802787515E-2</v>
      </c>
      <c r="E28" s="7" t="s">
        <v>90</v>
      </c>
      <c r="F28" s="8">
        <v>117710</v>
      </c>
      <c r="G28" s="8">
        <v>94240</v>
      </c>
      <c r="H28" s="8">
        <v>211950</v>
      </c>
      <c r="J28" s="7" t="s">
        <v>59</v>
      </c>
      <c r="K28" s="8">
        <v>834940</v>
      </c>
      <c r="L28"/>
    </row>
    <row r="29" spans="1:14">
      <c r="A29" s="7" t="s">
        <v>1094</v>
      </c>
      <c r="B29" s="8">
        <v>2506890</v>
      </c>
      <c r="C29" s="10">
        <v>1</v>
      </c>
      <c r="E29" s="7" t="s">
        <v>109</v>
      </c>
      <c r="F29" s="8">
        <v>142830</v>
      </c>
      <c r="G29" s="8">
        <v>123220</v>
      </c>
      <c r="H29" s="8">
        <v>266050</v>
      </c>
      <c r="J29" s="7" t="s">
        <v>71</v>
      </c>
      <c r="K29" s="8">
        <v>817100</v>
      </c>
      <c r="L29"/>
    </row>
    <row r="30" spans="1:14">
      <c r="B30"/>
      <c r="E30" s="7" t="s">
        <v>97</v>
      </c>
      <c r="F30" s="8">
        <v>104750</v>
      </c>
      <c r="G30" s="8">
        <v>96600</v>
      </c>
      <c r="H30" s="8">
        <v>201350</v>
      </c>
      <c r="J30" s="7" t="s">
        <v>93</v>
      </c>
      <c r="K30" s="8">
        <v>854850</v>
      </c>
      <c r="L30"/>
    </row>
    <row r="31" spans="1:14">
      <c r="A31" s="2" t="s">
        <v>17</v>
      </c>
      <c r="B31"/>
      <c r="E31" s="7" t="s">
        <v>101</v>
      </c>
      <c r="F31" s="8">
        <v>129120</v>
      </c>
      <c r="G31" s="8">
        <v>100900</v>
      </c>
      <c r="H31" s="8">
        <v>230020</v>
      </c>
      <c r="J31" s="7" t="s">
        <v>1094</v>
      </c>
      <c r="K31" s="8">
        <v>2506890</v>
      </c>
      <c r="L31"/>
    </row>
    <row r="32" spans="1:14">
      <c r="A32" s="6" t="s">
        <v>1093</v>
      </c>
      <c r="B32" t="s">
        <v>1092</v>
      </c>
      <c r="E32" s="7" t="s">
        <v>85</v>
      </c>
      <c r="F32" s="8">
        <v>132460</v>
      </c>
      <c r="G32" s="8">
        <v>113920</v>
      </c>
      <c r="H32" s="8">
        <v>246380</v>
      </c>
      <c r="K32"/>
      <c r="L32"/>
    </row>
    <row r="33" spans="1:12">
      <c r="A33" s="7" t="s">
        <v>53</v>
      </c>
      <c r="B33" s="8">
        <v>788770</v>
      </c>
      <c r="E33" s="7" t="s">
        <v>1094</v>
      </c>
      <c r="F33" s="8">
        <v>1293540</v>
      </c>
      <c r="G33" s="8">
        <v>1213350</v>
      </c>
      <c r="H33" s="8">
        <v>2506890</v>
      </c>
      <c r="K33"/>
      <c r="L33"/>
    </row>
    <row r="34" spans="1:12">
      <c r="A34" s="7" t="s">
        <v>62</v>
      </c>
      <c r="B34" s="8">
        <v>863980</v>
      </c>
      <c r="F34"/>
      <c r="G34"/>
      <c r="K34"/>
      <c r="L34"/>
    </row>
    <row r="35" spans="1:12">
      <c r="A35" s="7" t="s">
        <v>74</v>
      </c>
      <c r="B35" s="8">
        <v>854140</v>
      </c>
      <c r="F35"/>
      <c r="G35"/>
      <c r="K35"/>
      <c r="L35"/>
    </row>
    <row r="36" spans="1:12">
      <c r="A36" s="7" t="s">
        <v>1094</v>
      </c>
      <c r="B36" s="8">
        <v>2506890</v>
      </c>
      <c r="F36"/>
      <c r="G36"/>
      <c r="K36"/>
      <c r="L36"/>
    </row>
    <row r="37" spans="1:12">
      <c r="B37"/>
      <c r="F37"/>
      <c r="G37"/>
      <c r="K37"/>
      <c r="L37"/>
    </row>
    <row r="38" spans="1:12">
      <c r="B38"/>
      <c r="F38"/>
      <c r="G38"/>
      <c r="K38"/>
      <c r="L38"/>
    </row>
    <row r="39" spans="1:12">
      <c r="B39"/>
      <c r="F39"/>
      <c r="G39"/>
      <c r="K39"/>
      <c r="L39"/>
    </row>
    <row r="40" spans="1:12">
      <c r="B40"/>
      <c r="K40"/>
      <c r="L40"/>
    </row>
    <row r="41" spans="1:12">
      <c r="B41"/>
      <c r="K41"/>
      <c r="L41"/>
    </row>
    <row r="42" spans="1:12">
      <c r="B42"/>
      <c r="K42"/>
      <c r="L42"/>
    </row>
    <row r="43" spans="1:12">
      <c r="B43"/>
      <c r="K43"/>
      <c r="L43"/>
    </row>
    <row r="44" spans="1:12">
      <c r="B44"/>
      <c r="K44"/>
      <c r="L44"/>
    </row>
    <row r="45" spans="1:12">
      <c r="B45"/>
      <c r="K45"/>
    </row>
    <row r="46" spans="1:12">
      <c r="B46"/>
      <c r="K46"/>
    </row>
    <row r="47" spans="1:12">
      <c r="B47"/>
      <c r="K47"/>
    </row>
    <row r="48" spans="1:12">
      <c r="B48"/>
      <c r="K48"/>
    </row>
    <row r="49" spans="2:11">
      <c r="B49"/>
      <c r="K49"/>
    </row>
    <row r="50" spans="2:11">
      <c r="K50"/>
    </row>
    <row r="51" spans="2:11">
      <c r="K51"/>
    </row>
    <row r="52" spans="2:11">
      <c r="K52"/>
    </row>
    <row r="53" spans="2:11">
      <c r="K53"/>
    </row>
    <row r="54" spans="2:11">
      <c r="K54"/>
    </row>
    <row r="55" spans="2:11">
      <c r="K55"/>
    </row>
    <row r="56" spans="2:11">
      <c r="K56"/>
    </row>
    <row r="57" spans="2:11">
      <c r="K57"/>
    </row>
    <row r="58" spans="2:11">
      <c r="K58"/>
    </row>
    <row r="59" spans="2:11">
      <c r="K59"/>
    </row>
    <row r="60" spans="2:11">
      <c r="K60"/>
    </row>
    <row r="61" spans="2:11">
      <c r="K61"/>
    </row>
    <row r="62" spans="2:11">
      <c r="K62"/>
    </row>
    <row r="63" spans="2:11">
      <c r="K63"/>
    </row>
    <row r="64" spans="2:11">
      <c r="K64"/>
    </row>
    <row r="65" spans="11:11">
      <c r="K65"/>
    </row>
    <row r="66" spans="11:11">
      <c r="K66"/>
    </row>
    <row r="67" spans="11:11">
      <c r="K67"/>
    </row>
    <row r="68" spans="11:11">
      <c r="K68"/>
    </row>
    <row r="69" spans="11:11">
      <c r="K69"/>
    </row>
    <row r="70" spans="11:11">
      <c r="K70"/>
    </row>
    <row r="71" spans="11:11">
      <c r="K71"/>
    </row>
    <row r="72" spans="11:11">
      <c r="K72"/>
    </row>
    <row r="73" spans="11:11">
      <c r="K73"/>
    </row>
    <row r="74" spans="11:11">
      <c r="K74"/>
    </row>
    <row r="75" spans="11:11">
      <c r="K75"/>
    </row>
    <row r="76" spans="11:11">
      <c r="K76"/>
    </row>
    <row r="77" spans="11:11">
      <c r="K77"/>
    </row>
    <row r="78" spans="11:11">
      <c r="K78"/>
    </row>
    <row r="79" spans="11:11">
      <c r="K79"/>
    </row>
    <row r="80" spans="11:11">
      <c r="K80"/>
    </row>
    <row r="81" spans="11:11">
      <c r="K81"/>
    </row>
    <row r="82" spans="11:11">
      <c r="K82"/>
    </row>
    <row r="83" spans="11:11">
      <c r="K83"/>
    </row>
    <row r="84" spans="11:11">
      <c r="K84"/>
    </row>
    <row r="85" spans="11:11">
      <c r="K85"/>
    </row>
    <row r="86" spans="11:11">
      <c r="K86"/>
    </row>
    <row r="87" spans="11:11">
      <c r="K87"/>
    </row>
    <row r="88" spans="11:11">
      <c r="K88"/>
    </row>
    <row r="89" spans="11:11">
      <c r="K89"/>
    </row>
    <row r="90" spans="11:11">
      <c r="K90"/>
    </row>
    <row r="91" spans="11:11">
      <c r="K91"/>
    </row>
    <row r="92" spans="11:11">
      <c r="K92"/>
    </row>
    <row r="93" spans="11:11">
      <c r="K93"/>
    </row>
    <row r="94" spans="11:11">
      <c r="K94"/>
    </row>
    <row r="95" spans="11:11">
      <c r="K95"/>
    </row>
    <row r="96" spans="11:11">
      <c r="K96"/>
    </row>
    <row r="97" spans="11:11">
      <c r="K97"/>
    </row>
    <row r="98" spans="11:11">
      <c r="K98"/>
    </row>
    <row r="99" spans="11:11">
      <c r="K99"/>
    </row>
    <row r="100" spans="11:11">
      <c r="K100"/>
    </row>
    <row r="101" spans="11:11">
      <c r="K101"/>
    </row>
    <row r="102" spans="11:11">
      <c r="K102"/>
    </row>
    <row r="103" spans="11:11">
      <c r="K103"/>
    </row>
    <row r="104" spans="11:11">
      <c r="K104"/>
    </row>
    <row r="105" spans="11:11">
      <c r="K105"/>
    </row>
    <row r="106" spans="11:11">
      <c r="K106"/>
    </row>
    <row r="107" spans="11:11">
      <c r="K107"/>
    </row>
    <row r="108" spans="11:11">
      <c r="K108"/>
    </row>
    <row r="109" spans="11:11">
      <c r="K109"/>
    </row>
    <row r="110" spans="11:11">
      <c r="K110"/>
    </row>
    <row r="111" spans="11:11">
      <c r="K111"/>
    </row>
    <row r="112" spans="11:11">
      <c r="K112"/>
    </row>
    <row r="113" spans="11:11">
      <c r="K113"/>
    </row>
    <row r="114" spans="11:11">
      <c r="K114"/>
    </row>
    <row r="115" spans="11:11">
      <c r="K115"/>
    </row>
    <row r="116" spans="11:11">
      <c r="K116"/>
    </row>
    <row r="117" spans="11:11">
      <c r="K117"/>
    </row>
    <row r="118" spans="11:11">
      <c r="K118"/>
    </row>
    <row r="119" spans="11:11">
      <c r="K119"/>
    </row>
    <row r="120" spans="11:11">
      <c r="K120"/>
    </row>
    <row r="121" spans="11:11">
      <c r="K121"/>
    </row>
    <row r="122" spans="11:11">
      <c r="K122"/>
    </row>
    <row r="123" spans="11:11">
      <c r="K123"/>
    </row>
    <row r="124" spans="11:11">
      <c r="K124"/>
    </row>
    <row r="125" spans="11:11">
      <c r="K125"/>
    </row>
    <row r="126" spans="11:11">
      <c r="K126"/>
    </row>
    <row r="127" spans="11:11">
      <c r="K127"/>
    </row>
    <row r="128" spans="11:11">
      <c r="K128"/>
    </row>
    <row r="129" spans="11:11">
      <c r="K129"/>
    </row>
    <row r="130" spans="11:11">
      <c r="K130"/>
    </row>
    <row r="131" spans="11:11">
      <c r="K131"/>
    </row>
    <row r="132" spans="11:11">
      <c r="K132"/>
    </row>
    <row r="133" spans="11:11">
      <c r="K133"/>
    </row>
    <row r="134" spans="11:11">
      <c r="K134"/>
    </row>
    <row r="135" spans="11:11">
      <c r="K135"/>
    </row>
    <row r="136" spans="11:11">
      <c r="K136"/>
    </row>
    <row r="137" spans="11:11">
      <c r="K137"/>
    </row>
    <row r="138" spans="11:11">
      <c r="K138"/>
    </row>
    <row r="139" spans="11:11">
      <c r="K139"/>
    </row>
    <row r="140" spans="11:11">
      <c r="K140"/>
    </row>
    <row r="141" spans="11:11">
      <c r="K141"/>
    </row>
    <row r="142" spans="11:11">
      <c r="K142"/>
    </row>
    <row r="143" spans="11:11">
      <c r="K143"/>
    </row>
    <row r="144" spans="11:11">
      <c r="K144"/>
    </row>
    <row r="145" spans="11:11">
      <c r="K145"/>
    </row>
    <row r="146" spans="11:11">
      <c r="K146"/>
    </row>
    <row r="147" spans="11:11">
      <c r="K147"/>
    </row>
    <row r="148" spans="11:11">
      <c r="K148"/>
    </row>
    <row r="149" spans="11:11">
      <c r="K149"/>
    </row>
    <row r="150" spans="11:11">
      <c r="K150"/>
    </row>
    <row r="151" spans="11:11">
      <c r="K151"/>
    </row>
    <row r="152" spans="11:11">
      <c r="K152"/>
    </row>
    <row r="153" spans="11:11">
      <c r="K153"/>
    </row>
    <row r="154" spans="11:11">
      <c r="K154"/>
    </row>
    <row r="155" spans="11:11">
      <c r="K155"/>
    </row>
    <row r="156" spans="11:11">
      <c r="K156"/>
    </row>
    <row r="157" spans="11:11">
      <c r="K157"/>
    </row>
    <row r="158" spans="11:11">
      <c r="K158"/>
    </row>
    <row r="159" spans="11:11">
      <c r="K159"/>
    </row>
    <row r="160" spans="11:11">
      <c r="K160"/>
    </row>
    <row r="161" spans="11:11">
      <c r="K161"/>
    </row>
    <row r="162" spans="11:11">
      <c r="K162"/>
    </row>
    <row r="163" spans="11:11">
      <c r="K163"/>
    </row>
    <row r="164" spans="11:11">
      <c r="K164"/>
    </row>
    <row r="165" spans="11:11">
      <c r="K165"/>
    </row>
    <row r="166" spans="11:11">
      <c r="K166"/>
    </row>
    <row r="167" spans="11:11">
      <c r="K167"/>
    </row>
    <row r="168" spans="11:11">
      <c r="K168"/>
    </row>
    <row r="169" spans="11:11">
      <c r="K169"/>
    </row>
    <row r="170" spans="11:11">
      <c r="K170"/>
    </row>
    <row r="171" spans="11:11">
      <c r="K171"/>
    </row>
    <row r="172" spans="11:11">
      <c r="K172"/>
    </row>
    <row r="173" spans="11:11">
      <c r="K173"/>
    </row>
    <row r="174" spans="11:11">
      <c r="K174"/>
    </row>
    <row r="175" spans="11:11">
      <c r="K175"/>
    </row>
    <row r="176" spans="11:11">
      <c r="K176"/>
    </row>
    <row r="177" spans="11:11">
      <c r="K177"/>
    </row>
    <row r="178" spans="11:11">
      <c r="K178"/>
    </row>
    <row r="179" spans="11:11">
      <c r="K179"/>
    </row>
    <row r="180" spans="11:11">
      <c r="K180"/>
    </row>
    <row r="181" spans="11:11">
      <c r="K181"/>
    </row>
    <row r="182" spans="11:11">
      <c r="K182"/>
    </row>
    <row r="183" spans="11:11">
      <c r="K183"/>
    </row>
    <row r="184" spans="11:11">
      <c r="K184"/>
    </row>
    <row r="185" spans="11:11">
      <c r="K185"/>
    </row>
    <row r="186" spans="11:11">
      <c r="K186"/>
    </row>
    <row r="187" spans="11:11">
      <c r="K187"/>
    </row>
    <row r="188" spans="11:11">
      <c r="K188"/>
    </row>
    <row r="189" spans="11:11">
      <c r="K189"/>
    </row>
    <row r="190" spans="11:11">
      <c r="K190"/>
    </row>
    <row r="191" spans="11:11">
      <c r="K191"/>
    </row>
    <row r="192" spans="11:11">
      <c r="K192"/>
    </row>
    <row r="193" spans="11:11">
      <c r="K193"/>
    </row>
    <row r="194" spans="11:11">
      <c r="K194"/>
    </row>
    <row r="195" spans="11:11">
      <c r="K195"/>
    </row>
    <row r="196" spans="11:11">
      <c r="K196"/>
    </row>
    <row r="197" spans="11:11">
      <c r="K197"/>
    </row>
    <row r="198" spans="11:11">
      <c r="K198"/>
    </row>
    <row r="199" spans="11:11">
      <c r="K199"/>
    </row>
    <row r="200" spans="11:11">
      <c r="K200"/>
    </row>
    <row r="201" spans="11:11">
      <c r="K201"/>
    </row>
    <row r="202" spans="11:11">
      <c r="K202"/>
    </row>
    <row r="203" spans="11:11">
      <c r="K203"/>
    </row>
    <row r="204" spans="11:11">
      <c r="K204"/>
    </row>
    <row r="205" spans="11:11">
      <c r="K205"/>
    </row>
    <row r="206" spans="11:11">
      <c r="K206"/>
    </row>
    <row r="207" spans="11:11">
      <c r="K207"/>
    </row>
    <row r="208" spans="11:11">
      <c r="K208"/>
    </row>
    <row r="209" spans="11:11">
      <c r="K209"/>
    </row>
    <row r="210" spans="11:11">
      <c r="K210"/>
    </row>
    <row r="211" spans="11:11">
      <c r="K211"/>
    </row>
    <row r="212" spans="11:11">
      <c r="K212"/>
    </row>
    <row r="213" spans="11:11">
      <c r="K213"/>
    </row>
    <row r="214" spans="11:11">
      <c r="K214"/>
    </row>
    <row r="215" spans="11:11">
      <c r="K215"/>
    </row>
    <row r="216" spans="11:11">
      <c r="K216"/>
    </row>
    <row r="217" spans="11:11">
      <c r="K217"/>
    </row>
    <row r="218" spans="11:11">
      <c r="K218"/>
    </row>
    <row r="219" spans="11:11">
      <c r="K219"/>
    </row>
    <row r="220" spans="11:11">
      <c r="K220"/>
    </row>
    <row r="221" spans="11:11">
      <c r="K221"/>
    </row>
    <row r="222" spans="11:11">
      <c r="K222"/>
    </row>
    <row r="223" spans="11:11">
      <c r="K223"/>
    </row>
    <row r="224" spans="11:11">
      <c r="K224"/>
    </row>
    <row r="225" spans="11:11">
      <c r="K225"/>
    </row>
    <row r="226" spans="11:11">
      <c r="K226"/>
    </row>
    <row r="227" spans="11:11">
      <c r="K227"/>
    </row>
    <row r="228" spans="11:11">
      <c r="K228"/>
    </row>
    <row r="229" spans="11:11">
      <c r="K229"/>
    </row>
    <row r="230" spans="11:11">
      <c r="K230"/>
    </row>
    <row r="231" spans="11:11">
      <c r="K231"/>
    </row>
    <row r="232" spans="11:11">
      <c r="K232"/>
    </row>
    <row r="233" spans="11:11">
      <c r="K233"/>
    </row>
    <row r="234" spans="11:11">
      <c r="K234"/>
    </row>
    <row r="235" spans="11:11">
      <c r="K235"/>
    </row>
    <row r="236" spans="11:11">
      <c r="K236"/>
    </row>
    <row r="237" spans="11:11">
      <c r="K237"/>
    </row>
    <row r="238" spans="11:11">
      <c r="K238"/>
    </row>
    <row r="239" spans="11:11">
      <c r="K239"/>
    </row>
    <row r="240" spans="11:11">
      <c r="K240"/>
    </row>
    <row r="241" spans="11:11">
      <c r="K241"/>
    </row>
    <row r="242" spans="11:11">
      <c r="K242"/>
    </row>
    <row r="243" spans="11:11">
      <c r="K243"/>
    </row>
    <row r="244" spans="11:11">
      <c r="K244"/>
    </row>
    <row r="245" spans="11:11">
      <c r="K245"/>
    </row>
    <row r="246" spans="11:11">
      <c r="K246"/>
    </row>
    <row r="247" spans="11:11">
      <c r="K247"/>
    </row>
    <row r="248" spans="11:11">
      <c r="K248"/>
    </row>
    <row r="249" spans="11:11">
      <c r="K249"/>
    </row>
    <row r="250" spans="11:11">
      <c r="K250"/>
    </row>
    <row r="251" spans="11:11">
      <c r="K251"/>
    </row>
    <row r="252" spans="11:11">
      <c r="K252"/>
    </row>
    <row r="253" spans="11:11">
      <c r="K253"/>
    </row>
    <row r="254" spans="11:11">
      <c r="K254"/>
    </row>
    <row r="255" spans="11:11">
      <c r="K255"/>
    </row>
    <row r="256" spans="11:11">
      <c r="K256"/>
    </row>
    <row r="257" spans="11:11">
      <c r="K257"/>
    </row>
    <row r="258" spans="11:11">
      <c r="K258"/>
    </row>
    <row r="259" spans="11:11">
      <c r="K259"/>
    </row>
    <row r="260" spans="11:11">
      <c r="K260"/>
    </row>
    <row r="261" spans="11:11">
      <c r="K261"/>
    </row>
    <row r="262" spans="11:11">
      <c r="K262"/>
    </row>
    <row r="263" spans="11:11">
      <c r="K263"/>
    </row>
    <row r="264" spans="11:11">
      <c r="K264"/>
    </row>
    <row r="265" spans="11:11">
      <c r="K265"/>
    </row>
    <row r="266" spans="11:11">
      <c r="K266"/>
    </row>
    <row r="267" spans="11:11">
      <c r="K267"/>
    </row>
    <row r="268" spans="11:11">
      <c r="K268"/>
    </row>
    <row r="269" spans="11:11">
      <c r="K269"/>
    </row>
    <row r="270" spans="11:11">
      <c r="K270"/>
    </row>
    <row r="271" spans="11:11">
      <c r="K271"/>
    </row>
    <row r="272" spans="11:11">
      <c r="K272"/>
    </row>
    <row r="273" spans="11:11">
      <c r="K273"/>
    </row>
    <row r="274" spans="11:11">
      <c r="K274"/>
    </row>
    <row r="275" spans="11:11">
      <c r="K275"/>
    </row>
    <row r="276" spans="11:11">
      <c r="K276"/>
    </row>
    <row r="277" spans="11:11">
      <c r="K277"/>
    </row>
    <row r="278" spans="11:11">
      <c r="K278"/>
    </row>
    <row r="279" spans="11:11">
      <c r="K279"/>
    </row>
    <row r="280" spans="11:11">
      <c r="K280"/>
    </row>
    <row r="281" spans="11:11">
      <c r="K281"/>
    </row>
    <row r="282" spans="11:11">
      <c r="K282"/>
    </row>
    <row r="283" spans="11:11">
      <c r="K283"/>
    </row>
    <row r="284" spans="11:11">
      <c r="K284"/>
    </row>
    <row r="285" spans="11:11">
      <c r="K285"/>
    </row>
    <row r="286" spans="11:11">
      <c r="K286"/>
    </row>
    <row r="287" spans="11:11">
      <c r="K287"/>
    </row>
    <row r="288" spans="11:11">
      <c r="K288"/>
    </row>
    <row r="289" spans="11:11">
      <c r="K289"/>
    </row>
    <row r="290" spans="11:11">
      <c r="K290"/>
    </row>
    <row r="291" spans="11:11">
      <c r="K291"/>
    </row>
    <row r="292" spans="11:11">
      <c r="K292"/>
    </row>
    <row r="293" spans="11:11">
      <c r="K293"/>
    </row>
    <row r="294" spans="11:11">
      <c r="K294"/>
    </row>
    <row r="295" spans="11:11">
      <c r="K295"/>
    </row>
    <row r="296" spans="11:11">
      <c r="K296"/>
    </row>
    <row r="297" spans="11:11">
      <c r="K297"/>
    </row>
    <row r="298" spans="11:11">
      <c r="K298"/>
    </row>
    <row r="299" spans="11:11">
      <c r="K299"/>
    </row>
    <row r="300" spans="11:11">
      <c r="K300"/>
    </row>
    <row r="301" spans="11:11">
      <c r="K301"/>
    </row>
    <row r="302" spans="11:11">
      <c r="K302"/>
    </row>
    <row r="303" spans="11:11">
      <c r="K303"/>
    </row>
    <row r="304" spans="11:11">
      <c r="K304"/>
    </row>
    <row r="305" spans="11:11">
      <c r="K305"/>
    </row>
    <row r="306" spans="11:11">
      <c r="K306"/>
    </row>
    <row r="307" spans="11:11">
      <c r="K307"/>
    </row>
    <row r="308" spans="11:11">
      <c r="K308"/>
    </row>
    <row r="309" spans="11:11">
      <c r="K309"/>
    </row>
    <row r="310" spans="11:11">
      <c r="K310"/>
    </row>
    <row r="311" spans="11:11">
      <c r="K311"/>
    </row>
    <row r="312" spans="11:11">
      <c r="K312"/>
    </row>
    <row r="313" spans="11:11">
      <c r="K313"/>
    </row>
    <row r="314" spans="11:11">
      <c r="K314"/>
    </row>
    <row r="315" spans="11:11">
      <c r="K315"/>
    </row>
    <row r="316" spans="11:11">
      <c r="K316"/>
    </row>
    <row r="317" spans="11:11">
      <c r="K317"/>
    </row>
    <row r="318" spans="11:11">
      <c r="K318"/>
    </row>
    <row r="319" spans="11:11">
      <c r="K319"/>
    </row>
    <row r="320" spans="11:11">
      <c r="K320"/>
    </row>
    <row r="321" spans="11:11">
      <c r="K321"/>
    </row>
    <row r="322" spans="11:11">
      <c r="K322"/>
    </row>
    <row r="323" spans="11:11">
      <c r="K323"/>
    </row>
    <row r="324" spans="11:11">
      <c r="K324"/>
    </row>
    <row r="325" spans="11:11">
      <c r="K325"/>
    </row>
    <row r="326" spans="11:11">
      <c r="K326"/>
    </row>
    <row r="327" spans="11:11">
      <c r="K327"/>
    </row>
    <row r="328" spans="11:11">
      <c r="K328"/>
    </row>
    <row r="329" spans="11:11">
      <c r="K329"/>
    </row>
    <row r="330" spans="11:11">
      <c r="K330"/>
    </row>
    <row r="331" spans="11:11">
      <c r="K331"/>
    </row>
    <row r="332" spans="11:11">
      <c r="K332"/>
    </row>
    <row r="333" spans="11:11">
      <c r="K333"/>
    </row>
    <row r="334" spans="11:11">
      <c r="K334"/>
    </row>
    <row r="335" spans="11:11">
      <c r="K335"/>
    </row>
    <row r="336" spans="11:11">
      <c r="K336"/>
    </row>
    <row r="337" spans="11:11">
      <c r="K337"/>
    </row>
    <row r="338" spans="11:11">
      <c r="K338"/>
    </row>
    <row r="339" spans="11:11">
      <c r="K339"/>
    </row>
    <row r="340" spans="11:11">
      <c r="K340"/>
    </row>
    <row r="341" spans="11:11">
      <c r="K341"/>
    </row>
    <row r="342" spans="11:11">
      <c r="K342"/>
    </row>
    <row r="343" spans="11:11">
      <c r="K343"/>
    </row>
    <row r="344" spans="11:11">
      <c r="K344"/>
    </row>
    <row r="345" spans="11:11">
      <c r="K345"/>
    </row>
    <row r="346" spans="11:11">
      <c r="K346"/>
    </row>
    <row r="347" spans="11:11">
      <c r="K347"/>
    </row>
    <row r="348" spans="11:11">
      <c r="K348"/>
    </row>
    <row r="349" spans="11:11">
      <c r="K349"/>
    </row>
    <row r="350" spans="11:11">
      <c r="K350"/>
    </row>
    <row r="351" spans="11:11">
      <c r="K351"/>
    </row>
    <row r="352" spans="11:11">
      <c r="K352"/>
    </row>
    <row r="353" spans="11:11">
      <c r="K353"/>
    </row>
    <row r="354" spans="11:11">
      <c r="K354"/>
    </row>
    <row r="355" spans="11:11">
      <c r="K355"/>
    </row>
    <row r="356" spans="11:11">
      <c r="K356"/>
    </row>
    <row r="357" spans="11:11">
      <c r="K357"/>
    </row>
    <row r="358" spans="11:11">
      <c r="K358"/>
    </row>
    <row r="359" spans="11:11">
      <c r="K359"/>
    </row>
    <row r="360" spans="11:11">
      <c r="K360"/>
    </row>
    <row r="361" spans="11:11">
      <c r="K361"/>
    </row>
    <row r="362" spans="11:11">
      <c r="K362"/>
    </row>
    <row r="363" spans="11:11">
      <c r="K363"/>
    </row>
    <row r="364" spans="11:11">
      <c r="K364"/>
    </row>
    <row r="365" spans="11:11">
      <c r="K365"/>
    </row>
    <row r="366" spans="11:11">
      <c r="K366"/>
    </row>
    <row r="367" spans="11:11">
      <c r="K367"/>
    </row>
    <row r="368" spans="11:11">
      <c r="K368"/>
    </row>
    <row r="369" spans="11:11">
      <c r="K369"/>
    </row>
    <row r="370" spans="11:11">
      <c r="K370"/>
    </row>
    <row r="371" spans="11:11">
      <c r="K371"/>
    </row>
    <row r="372" spans="11:11">
      <c r="K372"/>
    </row>
    <row r="373" spans="11:11">
      <c r="K373"/>
    </row>
    <row r="374" spans="11:11">
      <c r="K374"/>
    </row>
    <row r="375" spans="11:11">
      <c r="K375"/>
    </row>
    <row r="376" spans="11:11">
      <c r="K376"/>
    </row>
    <row r="377" spans="11:11">
      <c r="K377"/>
    </row>
    <row r="378" spans="11:11">
      <c r="K378"/>
    </row>
    <row r="379" spans="11:11">
      <c r="K379"/>
    </row>
    <row r="380" spans="11:11">
      <c r="K380"/>
    </row>
    <row r="381" spans="11:11">
      <c r="K381"/>
    </row>
    <row r="382" spans="11:11">
      <c r="K382"/>
    </row>
    <row r="383" spans="11:11">
      <c r="K383"/>
    </row>
    <row r="384" spans="11:11">
      <c r="K384"/>
    </row>
    <row r="385" spans="11:11">
      <c r="K385"/>
    </row>
    <row r="386" spans="11:11">
      <c r="K386"/>
    </row>
    <row r="387" spans="11:11">
      <c r="K387"/>
    </row>
    <row r="388" spans="11:11">
      <c r="K388"/>
    </row>
    <row r="389" spans="11:11">
      <c r="K389"/>
    </row>
    <row r="390" spans="11:11">
      <c r="K390"/>
    </row>
    <row r="391" spans="11:11">
      <c r="K391"/>
    </row>
    <row r="392" spans="11:11">
      <c r="K392"/>
    </row>
    <row r="393" spans="11:11">
      <c r="K393"/>
    </row>
    <row r="394" spans="11:11">
      <c r="K394"/>
    </row>
    <row r="395" spans="11:11">
      <c r="K395"/>
    </row>
    <row r="396" spans="11:11">
      <c r="K396"/>
    </row>
    <row r="397" spans="11:11">
      <c r="K397"/>
    </row>
    <row r="398" spans="11:11">
      <c r="K398"/>
    </row>
    <row r="399" spans="11:11">
      <c r="K399"/>
    </row>
    <row r="400" spans="11:11">
      <c r="K400"/>
    </row>
    <row r="401" spans="11:11">
      <c r="K401"/>
    </row>
    <row r="402" spans="11:11">
      <c r="K402"/>
    </row>
    <row r="403" spans="11:11">
      <c r="K403"/>
    </row>
    <row r="404" spans="11:11">
      <c r="K404"/>
    </row>
    <row r="405" spans="11:11">
      <c r="K405"/>
    </row>
    <row r="406" spans="11:11">
      <c r="K406"/>
    </row>
    <row r="407" spans="11:11">
      <c r="K407"/>
    </row>
    <row r="408" spans="11:11">
      <c r="K408"/>
    </row>
    <row r="409" spans="11:11">
      <c r="K409"/>
    </row>
    <row r="410" spans="11:11">
      <c r="K410"/>
    </row>
    <row r="411" spans="11:11">
      <c r="K411"/>
    </row>
    <row r="412" spans="11:11">
      <c r="K412"/>
    </row>
    <row r="413" spans="11:11">
      <c r="K413"/>
    </row>
    <row r="414" spans="11:11">
      <c r="K414"/>
    </row>
    <row r="415" spans="11:11">
      <c r="K415"/>
    </row>
    <row r="416" spans="11:11">
      <c r="K416"/>
    </row>
    <row r="417" spans="11:11">
      <c r="K417"/>
    </row>
    <row r="418" spans="11:11">
      <c r="K418"/>
    </row>
    <row r="419" spans="11:11">
      <c r="K419"/>
    </row>
    <row r="420" spans="11:11">
      <c r="K420"/>
    </row>
    <row r="421" spans="11:11">
      <c r="K421"/>
    </row>
    <row r="422" spans="11:11">
      <c r="K422"/>
    </row>
    <row r="423" spans="11:11">
      <c r="K423"/>
    </row>
    <row r="424" spans="11:11">
      <c r="K424"/>
    </row>
    <row r="425" spans="11:11">
      <c r="K425"/>
    </row>
    <row r="426" spans="11:11">
      <c r="K426"/>
    </row>
    <row r="427" spans="11:11">
      <c r="K427"/>
    </row>
    <row r="428" spans="11:11">
      <c r="K428"/>
    </row>
    <row r="429" spans="11:11">
      <c r="K429"/>
    </row>
    <row r="430" spans="11:11">
      <c r="K430"/>
    </row>
    <row r="431" spans="11:11">
      <c r="K431"/>
    </row>
    <row r="432" spans="11:11">
      <c r="K432"/>
    </row>
    <row r="433" spans="11:11">
      <c r="K433"/>
    </row>
    <row r="434" spans="11:11">
      <c r="K434"/>
    </row>
    <row r="435" spans="11:11">
      <c r="K435"/>
    </row>
    <row r="436" spans="11:11">
      <c r="K436"/>
    </row>
    <row r="437" spans="11:11">
      <c r="K437"/>
    </row>
    <row r="438" spans="11:11">
      <c r="K438"/>
    </row>
    <row r="439" spans="11:11">
      <c r="K439"/>
    </row>
    <row r="440" spans="11:11">
      <c r="K440"/>
    </row>
    <row r="441" spans="11:11">
      <c r="K441"/>
    </row>
    <row r="442" spans="11:11">
      <c r="K442"/>
    </row>
    <row r="443" spans="11:11">
      <c r="K443"/>
    </row>
    <row r="444" spans="11:11">
      <c r="K444"/>
    </row>
    <row r="445" spans="11:11">
      <c r="K445"/>
    </row>
    <row r="446" spans="11:11">
      <c r="K446"/>
    </row>
    <row r="447" spans="11:11">
      <c r="K447"/>
    </row>
    <row r="448" spans="11:11">
      <c r="K448"/>
    </row>
    <row r="449" spans="11:11">
      <c r="K449"/>
    </row>
    <row r="450" spans="11:11">
      <c r="K450"/>
    </row>
    <row r="451" spans="11:11">
      <c r="K451"/>
    </row>
    <row r="452" spans="11:11">
      <c r="K452"/>
    </row>
    <row r="453" spans="11:11">
      <c r="K453"/>
    </row>
    <row r="454" spans="11:11">
      <c r="K454"/>
    </row>
    <row r="455" spans="11:11">
      <c r="K455"/>
    </row>
    <row r="456" spans="11:11">
      <c r="K456"/>
    </row>
    <row r="457" spans="11:11">
      <c r="K457"/>
    </row>
    <row r="458" spans="11:11">
      <c r="K458"/>
    </row>
    <row r="459" spans="11:11">
      <c r="K459"/>
    </row>
    <row r="460" spans="11:11">
      <c r="K460"/>
    </row>
    <row r="461" spans="11:11">
      <c r="K461"/>
    </row>
    <row r="462" spans="11:11">
      <c r="K462"/>
    </row>
    <row r="463" spans="11:11">
      <c r="K463"/>
    </row>
    <row r="464" spans="11:11">
      <c r="K464"/>
    </row>
    <row r="465" spans="11:11">
      <c r="K465"/>
    </row>
    <row r="466" spans="11:11">
      <c r="K466"/>
    </row>
    <row r="467" spans="11:11">
      <c r="K467"/>
    </row>
    <row r="468" spans="11:11">
      <c r="K468"/>
    </row>
    <row r="469" spans="11:11">
      <c r="K469"/>
    </row>
    <row r="470" spans="11:11">
      <c r="K470"/>
    </row>
    <row r="471" spans="11:11">
      <c r="K471"/>
    </row>
    <row r="472" spans="11:11">
      <c r="K472"/>
    </row>
    <row r="473" spans="11:11">
      <c r="K473"/>
    </row>
    <row r="474" spans="11:11">
      <c r="K474"/>
    </row>
    <row r="475" spans="11:11">
      <c r="K475"/>
    </row>
    <row r="476" spans="11:11">
      <c r="K476"/>
    </row>
    <row r="477" spans="11:11">
      <c r="K477"/>
    </row>
    <row r="478" spans="11:11">
      <c r="K478"/>
    </row>
    <row r="479" spans="11:11">
      <c r="K479"/>
    </row>
    <row r="480" spans="11:11">
      <c r="K480"/>
    </row>
    <row r="481" spans="11:11">
      <c r="K481"/>
    </row>
    <row r="482" spans="11:11">
      <c r="K482"/>
    </row>
    <row r="483" spans="11:11">
      <c r="K483"/>
    </row>
    <row r="484" spans="11:11">
      <c r="K484"/>
    </row>
    <row r="485" spans="11:11">
      <c r="K485"/>
    </row>
    <row r="486" spans="11:11">
      <c r="K486"/>
    </row>
    <row r="487" spans="11:11">
      <c r="K487"/>
    </row>
    <row r="488" spans="11:11">
      <c r="K488"/>
    </row>
    <row r="489" spans="11:11">
      <c r="K489"/>
    </row>
    <row r="490" spans="11:11">
      <c r="K490"/>
    </row>
    <row r="491" spans="11:11">
      <c r="K491"/>
    </row>
    <row r="492" spans="11:11">
      <c r="K492"/>
    </row>
    <row r="493" spans="11:11">
      <c r="K493"/>
    </row>
    <row r="494" spans="11:11">
      <c r="K494"/>
    </row>
    <row r="495" spans="11:11">
      <c r="K495"/>
    </row>
    <row r="496" spans="11:11">
      <c r="K496"/>
    </row>
    <row r="497" spans="11:11">
      <c r="K497"/>
    </row>
    <row r="498" spans="11:11">
      <c r="K498"/>
    </row>
    <row r="499" spans="11:11">
      <c r="K499"/>
    </row>
    <row r="500" spans="11:11">
      <c r="K500"/>
    </row>
    <row r="501" spans="11:11">
      <c r="K501"/>
    </row>
    <row r="502" spans="11:11">
      <c r="K502"/>
    </row>
    <row r="503" spans="11:11">
      <c r="K503"/>
    </row>
    <row r="504" spans="11:11">
      <c r="K504"/>
    </row>
    <row r="505" spans="11:11">
      <c r="K505"/>
    </row>
    <row r="506" spans="11:11">
      <c r="K506"/>
    </row>
    <row r="507" spans="11:11">
      <c r="K507"/>
    </row>
    <row r="508" spans="11:11">
      <c r="K508"/>
    </row>
    <row r="509" spans="11:11">
      <c r="K509"/>
    </row>
    <row r="510" spans="11:11">
      <c r="K510"/>
    </row>
    <row r="511" spans="11:11">
      <c r="K511"/>
    </row>
    <row r="512" spans="11:11">
      <c r="K512"/>
    </row>
    <row r="513" spans="11:11">
      <c r="K513"/>
    </row>
    <row r="514" spans="11:11">
      <c r="K514"/>
    </row>
    <row r="515" spans="11:11">
      <c r="K515"/>
    </row>
    <row r="516" spans="11:11">
      <c r="K516"/>
    </row>
    <row r="517" spans="11:11">
      <c r="K517"/>
    </row>
    <row r="518" spans="11:11">
      <c r="K518"/>
    </row>
    <row r="519" spans="11:11">
      <c r="K519"/>
    </row>
    <row r="520" spans="11:11">
      <c r="K520"/>
    </row>
    <row r="521" spans="11:11">
      <c r="K521"/>
    </row>
    <row r="522" spans="11:11">
      <c r="K522"/>
    </row>
    <row r="523" spans="11:11">
      <c r="K523"/>
    </row>
    <row r="524" spans="11:11">
      <c r="K524"/>
    </row>
    <row r="525" spans="11:11">
      <c r="K525"/>
    </row>
    <row r="526" spans="11:11">
      <c r="K526"/>
    </row>
    <row r="527" spans="11:11">
      <c r="K527"/>
    </row>
    <row r="528" spans="11:11">
      <c r="K528"/>
    </row>
    <row r="529" spans="11:11">
      <c r="K529"/>
    </row>
    <row r="530" spans="11:11">
      <c r="K530"/>
    </row>
    <row r="531" spans="11:11">
      <c r="K531"/>
    </row>
    <row r="532" spans="11:11">
      <c r="K532"/>
    </row>
    <row r="533" spans="11:11">
      <c r="K533"/>
    </row>
    <row r="534" spans="11:11">
      <c r="K534"/>
    </row>
    <row r="535" spans="11:11">
      <c r="K535"/>
    </row>
    <row r="536" spans="11:11">
      <c r="K536"/>
    </row>
    <row r="537" spans="11:11">
      <c r="K537"/>
    </row>
    <row r="538" spans="11:11">
      <c r="K538"/>
    </row>
    <row r="539" spans="11:11">
      <c r="K539"/>
    </row>
    <row r="540" spans="11:11">
      <c r="K540"/>
    </row>
    <row r="541" spans="11:11">
      <c r="K541"/>
    </row>
    <row r="542" spans="11:11">
      <c r="K542"/>
    </row>
    <row r="543" spans="11:11">
      <c r="K543"/>
    </row>
    <row r="544" spans="11:11">
      <c r="K544"/>
    </row>
    <row r="545" spans="11:11">
      <c r="K545"/>
    </row>
    <row r="546" spans="11:11">
      <c r="K546"/>
    </row>
    <row r="547" spans="11:11">
      <c r="K547"/>
    </row>
    <row r="548" spans="11:11">
      <c r="K548"/>
    </row>
    <row r="549" spans="11:11">
      <c r="K549"/>
    </row>
    <row r="550" spans="11:11">
      <c r="K550"/>
    </row>
    <row r="551" spans="11:11">
      <c r="K551"/>
    </row>
    <row r="552" spans="11:11">
      <c r="K552"/>
    </row>
    <row r="553" spans="11:11">
      <c r="K553"/>
    </row>
    <row r="554" spans="11:11">
      <c r="K554"/>
    </row>
    <row r="555" spans="11:11">
      <c r="K555"/>
    </row>
    <row r="556" spans="11:11">
      <c r="K556"/>
    </row>
    <row r="557" spans="11:11">
      <c r="K557"/>
    </row>
    <row r="558" spans="11:11">
      <c r="K558"/>
    </row>
    <row r="559" spans="11:11">
      <c r="K559"/>
    </row>
    <row r="560" spans="11:11">
      <c r="K560"/>
    </row>
    <row r="561" spans="11:11">
      <c r="K561"/>
    </row>
    <row r="562" spans="11:11">
      <c r="K562"/>
    </row>
    <row r="563" spans="11:11">
      <c r="K563"/>
    </row>
    <row r="564" spans="11:11">
      <c r="K564"/>
    </row>
    <row r="565" spans="11:11">
      <c r="K565"/>
    </row>
    <row r="566" spans="11:11">
      <c r="K566"/>
    </row>
    <row r="567" spans="11:11">
      <c r="K567"/>
    </row>
    <row r="568" spans="11:11">
      <c r="K568"/>
    </row>
    <row r="569" spans="11:11">
      <c r="K569"/>
    </row>
    <row r="570" spans="11:11">
      <c r="K570"/>
    </row>
    <row r="571" spans="11:11">
      <c r="K571"/>
    </row>
    <row r="572" spans="11:11">
      <c r="K572"/>
    </row>
    <row r="573" spans="11:11">
      <c r="K573"/>
    </row>
    <row r="574" spans="11:11">
      <c r="K574"/>
    </row>
    <row r="575" spans="11:11">
      <c r="K575"/>
    </row>
    <row r="576" spans="11:11">
      <c r="K576"/>
    </row>
    <row r="577" spans="11:11">
      <c r="K577"/>
    </row>
    <row r="578" spans="11:11">
      <c r="K578"/>
    </row>
    <row r="579" spans="11:11">
      <c r="K579"/>
    </row>
    <row r="580" spans="11:11">
      <c r="K580"/>
    </row>
    <row r="581" spans="11:11">
      <c r="K581"/>
    </row>
    <row r="582" spans="11:11">
      <c r="K582"/>
    </row>
    <row r="583" spans="11:11">
      <c r="K583"/>
    </row>
    <row r="584" spans="11:11">
      <c r="K584"/>
    </row>
    <row r="585" spans="11:11">
      <c r="K585"/>
    </row>
    <row r="586" spans="11:11">
      <c r="K586"/>
    </row>
    <row r="587" spans="11:11">
      <c r="K587"/>
    </row>
    <row r="588" spans="11:11">
      <c r="K588"/>
    </row>
    <row r="589" spans="11:11">
      <c r="K589"/>
    </row>
    <row r="590" spans="11:11">
      <c r="K590"/>
    </row>
    <row r="591" spans="11:11">
      <c r="K591"/>
    </row>
    <row r="592" spans="11:11">
      <c r="K592"/>
    </row>
    <row r="593" spans="11:11">
      <c r="K593"/>
    </row>
    <row r="594" spans="11:11">
      <c r="K594"/>
    </row>
    <row r="595" spans="11:11">
      <c r="K595"/>
    </row>
    <row r="596" spans="11:11">
      <c r="K596"/>
    </row>
    <row r="597" spans="11:11">
      <c r="K597"/>
    </row>
    <row r="598" spans="11:11">
      <c r="K598"/>
    </row>
    <row r="599" spans="11:11">
      <c r="K599"/>
    </row>
    <row r="600" spans="11:11">
      <c r="K600"/>
    </row>
    <row r="601" spans="11:11">
      <c r="K601"/>
    </row>
    <row r="602" spans="11:11">
      <c r="K602"/>
    </row>
    <row r="603" spans="11:11">
      <c r="K603"/>
    </row>
    <row r="604" spans="11:11">
      <c r="K604"/>
    </row>
    <row r="605" spans="11:11">
      <c r="K605"/>
    </row>
    <row r="606" spans="11:11">
      <c r="K606"/>
    </row>
    <row r="607" spans="11:11">
      <c r="K607"/>
    </row>
    <row r="608" spans="11:11">
      <c r="K608"/>
    </row>
    <row r="609" spans="11:11">
      <c r="K609"/>
    </row>
    <row r="610" spans="11:11">
      <c r="K610"/>
    </row>
    <row r="611" spans="11:11">
      <c r="K611"/>
    </row>
    <row r="612" spans="11:11">
      <c r="K612"/>
    </row>
    <row r="613" spans="11:11">
      <c r="K613"/>
    </row>
    <row r="614" spans="11:11">
      <c r="K614"/>
    </row>
    <row r="615" spans="11:11">
      <c r="K615"/>
    </row>
    <row r="616" spans="11:11">
      <c r="K616"/>
    </row>
    <row r="617" spans="11:11">
      <c r="K617"/>
    </row>
    <row r="618" spans="11:11">
      <c r="K618"/>
    </row>
    <row r="619" spans="11:11">
      <c r="K619"/>
    </row>
    <row r="620" spans="11:11">
      <c r="K620"/>
    </row>
    <row r="621" spans="11:11">
      <c r="K621"/>
    </row>
    <row r="622" spans="11:11">
      <c r="K622"/>
    </row>
    <row r="623" spans="11:11">
      <c r="K623"/>
    </row>
    <row r="624" spans="11:11">
      <c r="K624"/>
    </row>
    <row r="625" spans="11:11">
      <c r="K625"/>
    </row>
    <row r="626" spans="11:11">
      <c r="K626"/>
    </row>
    <row r="627" spans="11:11">
      <c r="K627"/>
    </row>
    <row r="628" spans="11:11">
      <c r="K628"/>
    </row>
    <row r="629" spans="11:11">
      <c r="K629"/>
    </row>
    <row r="630" spans="11:11">
      <c r="K630"/>
    </row>
    <row r="631" spans="11:11">
      <c r="K631"/>
    </row>
    <row r="632" spans="11:11">
      <c r="K632"/>
    </row>
    <row r="633" spans="11:11">
      <c r="K633"/>
    </row>
    <row r="634" spans="11:11">
      <c r="K634"/>
    </row>
    <row r="635" spans="11:11">
      <c r="K635"/>
    </row>
    <row r="636" spans="11:11">
      <c r="K636"/>
    </row>
    <row r="637" spans="11:11">
      <c r="K637"/>
    </row>
    <row r="638" spans="11:11">
      <c r="K638"/>
    </row>
    <row r="639" spans="11:11">
      <c r="K639"/>
    </row>
    <row r="640" spans="11:11">
      <c r="K640"/>
    </row>
    <row r="641" spans="11:11">
      <c r="K641"/>
    </row>
    <row r="642" spans="11:11">
      <c r="K642"/>
    </row>
    <row r="643" spans="11:11">
      <c r="K643"/>
    </row>
    <row r="644" spans="11:11">
      <c r="K644"/>
    </row>
    <row r="645" spans="11:11">
      <c r="K645"/>
    </row>
    <row r="646" spans="11:11">
      <c r="K646"/>
    </row>
    <row r="647" spans="11:11">
      <c r="K647"/>
    </row>
    <row r="648" spans="11:11">
      <c r="K648"/>
    </row>
    <row r="649" spans="11:11">
      <c r="K649"/>
    </row>
    <row r="650" spans="11:11">
      <c r="K650"/>
    </row>
    <row r="651" spans="11:11">
      <c r="K651"/>
    </row>
    <row r="652" spans="11:11">
      <c r="K652"/>
    </row>
    <row r="653" spans="11:11">
      <c r="K653"/>
    </row>
    <row r="654" spans="11:11">
      <c r="K654"/>
    </row>
    <row r="655" spans="11:11">
      <c r="K655"/>
    </row>
    <row r="656" spans="11:11">
      <c r="K656"/>
    </row>
    <row r="657" spans="11:11">
      <c r="K657"/>
    </row>
    <row r="658" spans="11:11">
      <c r="K658"/>
    </row>
    <row r="659" spans="11:11">
      <c r="K659"/>
    </row>
    <row r="660" spans="11:11">
      <c r="K660"/>
    </row>
    <row r="661" spans="11:11">
      <c r="K661"/>
    </row>
    <row r="662" spans="11:11">
      <c r="K662"/>
    </row>
    <row r="663" spans="11:11">
      <c r="K663"/>
    </row>
    <row r="664" spans="11:11">
      <c r="K664"/>
    </row>
    <row r="665" spans="11:11">
      <c r="K665"/>
    </row>
    <row r="666" spans="11:11">
      <c r="K666"/>
    </row>
    <row r="667" spans="11:11">
      <c r="K667"/>
    </row>
    <row r="668" spans="11:11">
      <c r="K668"/>
    </row>
    <row r="669" spans="11:11">
      <c r="K669"/>
    </row>
    <row r="670" spans="11:11">
      <c r="K670"/>
    </row>
    <row r="671" spans="11:11">
      <c r="K671"/>
    </row>
    <row r="672" spans="11:11">
      <c r="K672"/>
    </row>
    <row r="673" spans="11:11">
      <c r="K673"/>
    </row>
    <row r="674" spans="11:11">
      <c r="K674"/>
    </row>
    <row r="675" spans="11:11">
      <c r="K675"/>
    </row>
    <row r="676" spans="11:11">
      <c r="K676"/>
    </row>
    <row r="677" spans="11:11">
      <c r="K677"/>
    </row>
    <row r="678" spans="11:11">
      <c r="K678"/>
    </row>
    <row r="679" spans="11:11">
      <c r="K679"/>
    </row>
    <row r="680" spans="11:11">
      <c r="K680"/>
    </row>
    <row r="681" spans="11:11">
      <c r="K681"/>
    </row>
    <row r="682" spans="11:11">
      <c r="K682"/>
    </row>
    <row r="683" spans="11:11">
      <c r="K683"/>
    </row>
    <row r="684" spans="11:11">
      <c r="K684"/>
    </row>
    <row r="685" spans="11:11">
      <c r="K685"/>
    </row>
    <row r="686" spans="11:11">
      <c r="K686"/>
    </row>
    <row r="687" spans="11:11">
      <c r="K687"/>
    </row>
    <row r="688" spans="11:11">
      <c r="K688"/>
    </row>
    <row r="689" spans="11:11">
      <c r="K689"/>
    </row>
    <row r="690" spans="11:11">
      <c r="K690"/>
    </row>
    <row r="691" spans="11:11">
      <c r="K691"/>
    </row>
    <row r="692" spans="11:11">
      <c r="K692"/>
    </row>
    <row r="693" spans="11:11">
      <c r="K693"/>
    </row>
    <row r="694" spans="11:11">
      <c r="K694"/>
    </row>
    <row r="695" spans="11:11">
      <c r="K695"/>
    </row>
    <row r="696" spans="11:11">
      <c r="K696"/>
    </row>
    <row r="697" spans="11:11">
      <c r="K697"/>
    </row>
    <row r="698" spans="11:11">
      <c r="K698"/>
    </row>
    <row r="699" spans="11:11">
      <c r="K699"/>
    </row>
    <row r="700" spans="11:11">
      <c r="K700"/>
    </row>
    <row r="701" spans="11:11">
      <c r="K701"/>
    </row>
    <row r="702" spans="11:11">
      <c r="K702"/>
    </row>
    <row r="703" spans="11:11">
      <c r="K703"/>
    </row>
    <row r="704" spans="11:11">
      <c r="K704"/>
    </row>
    <row r="705" spans="11:11">
      <c r="K705"/>
    </row>
    <row r="706" spans="11:11">
      <c r="K706"/>
    </row>
    <row r="707" spans="11:11">
      <c r="K707"/>
    </row>
    <row r="708" spans="11:11">
      <c r="K708"/>
    </row>
    <row r="709" spans="11:11">
      <c r="K709"/>
    </row>
    <row r="710" spans="11:11">
      <c r="K710"/>
    </row>
    <row r="711" spans="11:11">
      <c r="K711"/>
    </row>
    <row r="712" spans="11:11">
      <c r="K712"/>
    </row>
    <row r="713" spans="11:11">
      <c r="K713"/>
    </row>
    <row r="714" spans="11:11">
      <c r="K714"/>
    </row>
    <row r="715" spans="11:11">
      <c r="K715"/>
    </row>
    <row r="716" spans="11:11">
      <c r="K716"/>
    </row>
    <row r="717" spans="11:11">
      <c r="K717"/>
    </row>
    <row r="718" spans="11:11">
      <c r="K718"/>
    </row>
    <row r="719" spans="11:11">
      <c r="K719"/>
    </row>
    <row r="720" spans="11:11">
      <c r="K720"/>
    </row>
    <row r="721" spans="11:11">
      <c r="K721"/>
    </row>
    <row r="722" spans="11:11">
      <c r="K722"/>
    </row>
    <row r="723" spans="11:11">
      <c r="K723"/>
    </row>
    <row r="724" spans="11:11">
      <c r="K724"/>
    </row>
    <row r="725" spans="11:11">
      <c r="K725"/>
    </row>
    <row r="726" spans="11:11">
      <c r="K726"/>
    </row>
    <row r="727" spans="11:11">
      <c r="K727"/>
    </row>
    <row r="728" spans="11:11">
      <c r="K728"/>
    </row>
    <row r="729" spans="11:11">
      <c r="K729"/>
    </row>
    <row r="730" spans="11:11">
      <c r="K730"/>
    </row>
    <row r="731" spans="11:11">
      <c r="K731"/>
    </row>
    <row r="732" spans="11:11">
      <c r="K732"/>
    </row>
    <row r="733" spans="11:11">
      <c r="K733"/>
    </row>
    <row r="734" spans="11:11">
      <c r="K734"/>
    </row>
    <row r="735" spans="11:11">
      <c r="K735"/>
    </row>
    <row r="736" spans="11:11">
      <c r="K736"/>
    </row>
    <row r="737" spans="11:11">
      <c r="K737"/>
    </row>
    <row r="738" spans="11:11">
      <c r="K738"/>
    </row>
    <row r="739" spans="11:11">
      <c r="K739"/>
    </row>
    <row r="740" spans="11:11">
      <c r="K740"/>
    </row>
    <row r="741" spans="11:11">
      <c r="K741"/>
    </row>
    <row r="742" spans="11:11">
      <c r="K742"/>
    </row>
    <row r="743" spans="11:11">
      <c r="K743"/>
    </row>
    <row r="744" spans="11:11">
      <c r="K744"/>
    </row>
    <row r="745" spans="11:11">
      <c r="K745"/>
    </row>
    <row r="746" spans="11:11">
      <c r="K746"/>
    </row>
    <row r="747" spans="11:11">
      <c r="K747"/>
    </row>
    <row r="748" spans="11:11">
      <c r="K748"/>
    </row>
    <row r="749" spans="11:11">
      <c r="K749"/>
    </row>
    <row r="750" spans="11:11">
      <c r="K750"/>
    </row>
    <row r="751" spans="11:11">
      <c r="K751"/>
    </row>
    <row r="752" spans="11:11">
      <c r="K752"/>
    </row>
    <row r="753" spans="11:11">
      <c r="K753"/>
    </row>
    <row r="754" spans="11:11">
      <c r="K754"/>
    </row>
    <row r="755" spans="11:11">
      <c r="K755"/>
    </row>
    <row r="756" spans="11:11">
      <c r="K756"/>
    </row>
    <row r="757" spans="11:11">
      <c r="K757"/>
    </row>
    <row r="758" spans="11:11">
      <c r="K758"/>
    </row>
    <row r="759" spans="11:11">
      <c r="K759"/>
    </row>
    <row r="760" spans="11:11">
      <c r="K760"/>
    </row>
    <row r="761" spans="11:11">
      <c r="K761"/>
    </row>
    <row r="762" spans="11:11">
      <c r="K762"/>
    </row>
    <row r="763" spans="11:11">
      <c r="K763"/>
    </row>
    <row r="764" spans="11:11">
      <c r="K764"/>
    </row>
    <row r="765" spans="11:11">
      <c r="K765"/>
    </row>
    <row r="766" spans="11:11">
      <c r="K766"/>
    </row>
    <row r="767" spans="11:11">
      <c r="K767"/>
    </row>
    <row r="768" spans="11:11">
      <c r="K768"/>
    </row>
    <row r="769" spans="11:11">
      <c r="K769"/>
    </row>
    <row r="770" spans="11:11">
      <c r="K770"/>
    </row>
    <row r="771" spans="11:11">
      <c r="K771"/>
    </row>
    <row r="772" spans="11:11">
      <c r="K772"/>
    </row>
    <row r="773" spans="11:11">
      <c r="K773"/>
    </row>
    <row r="774" spans="11:11">
      <c r="K774"/>
    </row>
    <row r="775" spans="11:11">
      <c r="K775"/>
    </row>
    <row r="776" spans="11:11">
      <c r="K776"/>
    </row>
    <row r="777" spans="11:11">
      <c r="K777"/>
    </row>
    <row r="778" spans="11:11">
      <c r="K778"/>
    </row>
    <row r="779" spans="11:11">
      <c r="K779"/>
    </row>
    <row r="780" spans="11:11">
      <c r="K780"/>
    </row>
    <row r="781" spans="11:11">
      <c r="K781"/>
    </row>
    <row r="782" spans="11:11">
      <c r="K782"/>
    </row>
    <row r="783" spans="11:11">
      <c r="K783"/>
    </row>
    <row r="784" spans="11:11">
      <c r="K784"/>
    </row>
    <row r="785" spans="11:11">
      <c r="K785"/>
    </row>
    <row r="786" spans="11:11">
      <c r="K786"/>
    </row>
    <row r="787" spans="11:11">
      <c r="K787"/>
    </row>
    <row r="788" spans="11:11">
      <c r="K788"/>
    </row>
    <row r="789" spans="11:11">
      <c r="K789"/>
    </row>
    <row r="790" spans="11:11">
      <c r="K790"/>
    </row>
    <row r="791" spans="11:11">
      <c r="K791"/>
    </row>
    <row r="792" spans="11:11">
      <c r="K792"/>
    </row>
    <row r="793" spans="11:11">
      <c r="K793"/>
    </row>
    <row r="794" spans="11:11">
      <c r="K794"/>
    </row>
    <row r="795" spans="11:11">
      <c r="K795"/>
    </row>
    <row r="796" spans="11:11">
      <c r="K796"/>
    </row>
    <row r="797" spans="11:11">
      <c r="K797"/>
    </row>
    <row r="798" spans="11:11">
      <c r="K798"/>
    </row>
    <row r="799" spans="11:11">
      <c r="K799"/>
    </row>
    <row r="800" spans="11:11">
      <c r="K800"/>
    </row>
    <row r="801" spans="11:11">
      <c r="K801"/>
    </row>
    <row r="802" spans="11:11">
      <c r="K802"/>
    </row>
    <row r="803" spans="11:11">
      <c r="K803"/>
    </row>
    <row r="804" spans="11:11">
      <c r="K804"/>
    </row>
    <row r="805" spans="11:11">
      <c r="K805"/>
    </row>
    <row r="806" spans="11:11">
      <c r="K806"/>
    </row>
    <row r="807" spans="11:11">
      <c r="K807"/>
    </row>
    <row r="808" spans="11:11">
      <c r="K808"/>
    </row>
    <row r="809" spans="11:11">
      <c r="K809"/>
    </row>
    <row r="810" spans="11:11">
      <c r="K810"/>
    </row>
    <row r="811" spans="11:11">
      <c r="K811"/>
    </row>
    <row r="812" spans="11:11">
      <c r="K812"/>
    </row>
    <row r="813" spans="11:11">
      <c r="K813"/>
    </row>
    <row r="814" spans="11:11">
      <c r="K814"/>
    </row>
    <row r="815" spans="11:11">
      <c r="K815"/>
    </row>
    <row r="816" spans="11:11">
      <c r="K816"/>
    </row>
    <row r="817" spans="11:11">
      <c r="K817"/>
    </row>
    <row r="818" spans="11:11">
      <c r="K818"/>
    </row>
    <row r="819" spans="11:11">
      <c r="K819"/>
    </row>
    <row r="820" spans="11:11">
      <c r="K820"/>
    </row>
    <row r="821" spans="11:11">
      <c r="K821"/>
    </row>
    <row r="822" spans="11:11">
      <c r="K822"/>
    </row>
    <row r="823" spans="11:11">
      <c r="K823"/>
    </row>
    <row r="824" spans="11:11">
      <c r="K824"/>
    </row>
    <row r="825" spans="11:11">
      <c r="K825"/>
    </row>
    <row r="826" spans="11:11">
      <c r="K826"/>
    </row>
    <row r="827" spans="11:11">
      <c r="K827"/>
    </row>
    <row r="828" spans="11:11">
      <c r="K828"/>
    </row>
    <row r="829" spans="11:11">
      <c r="K829"/>
    </row>
    <row r="830" spans="11:11">
      <c r="K830"/>
    </row>
    <row r="831" spans="11:11">
      <c r="K831"/>
    </row>
    <row r="832" spans="11:11">
      <c r="K832"/>
    </row>
    <row r="833" spans="11:11">
      <c r="K833"/>
    </row>
    <row r="834" spans="11:11">
      <c r="K834"/>
    </row>
    <row r="835" spans="11:11">
      <c r="K835"/>
    </row>
    <row r="836" spans="11:11">
      <c r="K836"/>
    </row>
    <row r="837" spans="11:11">
      <c r="K837"/>
    </row>
    <row r="838" spans="11:11">
      <c r="K838"/>
    </row>
    <row r="839" spans="11:11">
      <c r="K839"/>
    </row>
    <row r="840" spans="11:11">
      <c r="K840"/>
    </row>
    <row r="841" spans="11:11">
      <c r="K841"/>
    </row>
    <row r="842" spans="11:11">
      <c r="K842"/>
    </row>
    <row r="843" spans="11:11">
      <c r="K843"/>
    </row>
    <row r="844" spans="11:11">
      <c r="K844"/>
    </row>
    <row r="845" spans="11:11">
      <c r="K845"/>
    </row>
    <row r="846" spans="11:11">
      <c r="K846"/>
    </row>
    <row r="847" spans="11:11">
      <c r="K847"/>
    </row>
    <row r="848" spans="11:11">
      <c r="K848"/>
    </row>
    <row r="849" spans="11:11">
      <c r="K849"/>
    </row>
    <row r="850" spans="11:11">
      <c r="K850"/>
    </row>
    <row r="851" spans="11:11">
      <c r="K851"/>
    </row>
    <row r="852" spans="11:11">
      <c r="K852"/>
    </row>
    <row r="853" spans="11:11">
      <c r="K853"/>
    </row>
    <row r="854" spans="11:11">
      <c r="K854"/>
    </row>
    <row r="855" spans="11:11">
      <c r="K855"/>
    </row>
    <row r="856" spans="11:11">
      <c r="K856"/>
    </row>
    <row r="857" spans="11:11">
      <c r="K857"/>
    </row>
    <row r="858" spans="11:11">
      <c r="K858"/>
    </row>
    <row r="859" spans="11:11">
      <c r="K859"/>
    </row>
    <row r="860" spans="11:11">
      <c r="K860"/>
    </row>
    <row r="861" spans="11:11">
      <c r="K861"/>
    </row>
    <row r="862" spans="11:11">
      <c r="K862"/>
    </row>
    <row r="863" spans="11:11">
      <c r="K863"/>
    </row>
    <row r="864" spans="11:11">
      <c r="K864"/>
    </row>
    <row r="865" spans="11:11">
      <c r="K865"/>
    </row>
    <row r="866" spans="11:11">
      <c r="K866"/>
    </row>
    <row r="867" spans="11:11">
      <c r="K867"/>
    </row>
    <row r="868" spans="11:11">
      <c r="K868"/>
    </row>
    <row r="869" spans="11:11">
      <c r="K869"/>
    </row>
    <row r="870" spans="11:11">
      <c r="K870"/>
    </row>
    <row r="871" spans="11:11">
      <c r="K871"/>
    </row>
    <row r="872" spans="11:11">
      <c r="K872"/>
    </row>
    <row r="873" spans="11:11">
      <c r="K873"/>
    </row>
    <row r="874" spans="11:11">
      <c r="K874"/>
    </row>
    <row r="875" spans="11:11">
      <c r="K875"/>
    </row>
    <row r="876" spans="11:11">
      <c r="K876"/>
    </row>
    <row r="877" spans="11:11">
      <c r="K877"/>
    </row>
    <row r="878" spans="11:11">
      <c r="K878"/>
    </row>
    <row r="879" spans="11:11">
      <c r="K879"/>
    </row>
    <row r="880" spans="11:11">
      <c r="K880"/>
    </row>
    <row r="881" spans="11:11">
      <c r="K881"/>
    </row>
    <row r="882" spans="11:11">
      <c r="K882"/>
    </row>
    <row r="883" spans="11:11">
      <c r="K883"/>
    </row>
    <row r="884" spans="11:11">
      <c r="K884"/>
    </row>
    <row r="885" spans="11:11">
      <c r="K885"/>
    </row>
    <row r="886" spans="11:11">
      <c r="K886"/>
    </row>
    <row r="887" spans="11:11">
      <c r="K887"/>
    </row>
    <row r="888" spans="11:11">
      <c r="K888"/>
    </row>
    <row r="889" spans="11:11">
      <c r="K889"/>
    </row>
    <row r="890" spans="11:11">
      <c r="K890"/>
    </row>
    <row r="891" spans="11:11">
      <c r="K891"/>
    </row>
    <row r="892" spans="11:11">
      <c r="K892"/>
    </row>
    <row r="893" spans="11:11">
      <c r="K893"/>
    </row>
    <row r="894" spans="11:11">
      <c r="K894"/>
    </row>
    <row r="895" spans="11:11">
      <c r="K895"/>
    </row>
    <row r="896" spans="11:11">
      <c r="K896"/>
    </row>
    <row r="897" spans="11:11">
      <c r="K897"/>
    </row>
    <row r="898" spans="11:11">
      <c r="K898"/>
    </row>
    <row r="899" spans="11:11">
      <c r="K899"/>
    </row>
    <row r="900" spans="11:11">
      <c r="K900"/>
    </row>
    <row r="901" spans="11:11">
      <c r="K901"/>
    </row>
    <row r="902" spans="11:11">
      <c r="K902"/>
    </row>
    <row r="903" spans="11:11">
      <c r="K903"/>
    </row>
    <row r="904" spans="11:11">
      <c r="K904"/>
    </row>
    <row r="905" spans="11:11">
      <c r="K905"/>
    </row>
    <row r="906" spans="11:11">
      <c r="K906"/>
    </row>
    <row r="907" spans="11:11">
      <c r="K907"/>
    </row>
    <row r="908" spans="11:11">
      <c r="K908"/>
    </row>
    <row r="909" spans="11:11">
      <c r="K909"/>
    </row>
    <row r="910" spans="11:11">
      <c r="K910"/>
    </row>
    <row r="911" spans="11:11">
      <c r="K911"/>
    </row>
    <row r="912" spans="11:11">
      <c r="K912"/>
    </row>
    <row r="913" spans="11:11">
      <c r="K913"/>
    </row>
    <row r="914" spans="11:11">
      <c r="K914"/>
    </row>
    <row r="915" spans="11:11">
      <c r="K915"/>
    </row>
    <row r="916" spans="11:11">
      <c r="K916"/>
    </row>
    <row r="917" spans="11:11">
      <c r="K917"/>
    </row>
    <row r="918" spans="11:11">
      <c r="K918"/>
    </row>
    <row r="919" spans="11:11">
      <c r="K919"/>
    </row>
    <row r="920" spans="11:11">
      <c r="K920"/>
    </row>
    <row r="921" spans="11:11">
      <c r="K921"/>
    </row>
    <row r="922" spans="11:11">
      <c r="K922"/>
    </row>
    <row r="923" spans="11:11">
      <c r="K923"/>
    </row>
    <row r="924" spans="11:11">
      <c r="K924"/>
    </row>
    <row r="925" spans="11:11">
      <c r="K925"/>
    </row>
    <row r="926" spans="11:11">
      <c r="K926"/>
    </row>
    <row r="927" spans="11:11">
      <c r="K927"/>
    </row>
    <row r="928" spans="11:11">
      <c r="K928"/>
    </row>
    <row r="929" spans="11:11">
      <c r="K929"/>
    </row>
    <row r="930" spans="11:11">
      <c r="K930"/>
    </row>
    <row r="931" spans="11:11">
      <c r="K931"/>
    </row>
    <row r="932" spans="11:11">
      <c r="K932"/>
    </row>
    <row r="933" spans="11:11">
      <c r="K933"/>
    </row>
    <row r="934" spans="11:11">
      <c r="K934"/>
    </row>
    <row r="935" spans="11:11">
      <c r="K935"/>
    </row>
    <row r="936" spans="11:11">
      <c r="K936"/>
    </row>
    <row r="937" spans="11:11">
      <c r="K937"/>
    </row>
    <row r="938" spans="11:11">
      <c r="K938"/>
    </row>
    <row r="939" spans="11:11">
      <c r="K939"/>
    </row>
    <row r="940" spans="11:11">
      <c r="K940"/>
    </row>
    <row r="941" spans="11:11">
      <c r="K941"/>
    </row>
    <row r="942" spans="11:11">
      <c r="K942"/>
    </row>
    <row r="943" spans="11:11">
      <c r="K943"/>
    </row>
    <row r="944" spans="11:11">
      <c r="K944"/>
    </row>
    <row r="945" spans="11:11">
      <c r="K945"/>
    </row>
    <row r="946" spans="11:11">
      <c r="K946"/>
    </row>
    <row r="947" spans="11:11">
      <c r="K947"/>
    </row>
    <row r="948" spans="11:11">
      <c r="K948"/>
    </row>
    <row r="949" spans="11:11">
      <c r="K949"/>
    </row>
    <row r="950" spans="11:11">
      <c r="K950"/>
    </row>
    <row r="951" spans="11:11">
      <c r="K951"/>
    </row>
    <row r="952" spans="11:11">
      <c r="K952"/>
    </row>
    <row r="953" spans="11:11">
      <c r="K953"/>
    </row>
    <row r="954" spans="11:11">
      <c r="K954"/>
    </row>
    <row r="955" spans="11:11">
      <c r="K955"/>
    </row>
    <row r="956" spans="11:11">
      <c r="K956"/>
    </row>
    <row r="957" spans="11:11">
      <c r="K957"/>
    </row>
    <row r="958" spans="11:11">
      <c r="K958"/>
    </row>
    <row r="959" spans="11:11">
      <c r="K959"/>
    </row>
    <row r="960" spans="11:11">
      <c r="K960"/>
    </row>
    <row r="961" spans="11:11">
      <c r="K961"/>
    </row>
    <row r="962" spans="11:11">
      <c r="K962"/>
    </row>
    <row r="963" spans="11:11">
      <c r="K963"/>
    </row>
    <row r="964" spans="11:11">
      <c r="K964"/>
    </row>
    <row r="965" spans="11:11">
      <c r="K965"/>
    </row>
    <row r="966" spans="11:11">
      <c r="K966"/>
    </row>
    <row r="967" spans="11:11">
      <c r="K967"/>
    </row>
    <row r="968" spans="11:11">
      <c r="K968"/>
    </row>
    <row r="969" spans="11:11">
      <c r="K969"/>
    </row>
    <row r="970" spans="11:11">
      <c r="K970"/>
    </row>
    <row r="971" spans="11:11">
      <c r="K971"/>
    </row>
    <row r="972" spans="11:11">
      <c r="K972"/>
    </row>
    <row r="973" spans="11:11">
      <c r="K973"/>
    </row>
    <row r="974" spans="11:11">
      <c r="K974"/>
    </row>
    <row r="975" spans="11:11">
      <c r="K975"/>
    </row>
    <row r="976" spans="11:11">
      <c r="K976"/>
    </row>
    <row r="977" spans="11:11">
      <c r="K977"/>
    </row>
    <row r="978" spans="11:11">
      <c r="K978"/>
    </row>
    <row r="979" spans="11:11">
      <c r="K979"/>
    </row>
    <row r="980" spans="11:11">
      <c r="K980"/>
    </row>
    <row r="981" spans="11:11">
      <c r="K981"/>
    </row>
    <row r="982" spans="11:11">
      <c r="K982"/>
    </row>
    <row r="983" spans="11:11">
      <c r="K983"/>
    </row>
    <row r="984" spans="11:11">
      <c r="K984"/>
    </row>
    <row r="985" spans="11:11">
      <c r="K985"/>
    </row>
    <row r="986" spans="11:11">
      <c r="K986"/>
    </row>
    <row r="987" spans="11:11">
      <c r="K987"/>
    </row>
    <row r="988" spans="11:11">
      <c r="K988"/>
    </row>
    <row r="989" spans="11:11">
      <c r="K989"/>
    </row>
    <row r="990" spans="11:11">
      <c r="K990"/>
    </row>
    <row r="991" spans="11:11">
      <c r="K991"/>
    </row>
    <row r="992" spans="11:11">
      <c r="K992"/>
    </row>
    <row r="993" spans="11:11">
      <c r="K993"/>
    </row>
    <row r="994" spans="11:11">
      <c r="K994"/>
    </row>
    <row r="995" spans="11:11">
      <c r="K995"/>
    </row>
    <row r="996" spans="11:11">
      <c r="K996"/>
    </row>
    <row r="997" spans="11:11">
      <c r="K997"/>
    </row>
    <row r="998" spans="11:11">
      <c r="K998"/>
    </row>
    <row r="999" spans="11:11">
      <c r="K999"/>
    </row>
    <row r="1000" spans="11:11">
      <c r="K1000"/>
    </row>
    <row r="1001" spans="11:11">
      <c r="K1001"/>
    </row>
    <row r="1002" spans="11:11">
      <c r="K1002"/>
    </row>
    <row r="1003" spans="11:11">
      <c r="K1003"/>
    </row>
    <row r="1004" spans="11:11">
      <c r="K1004"/>
    </row>
    <row r="1005" spans="11:11">
      <c r="K1005"/>
    </row>
    <row r="1006" spans="11:11">
      <c r="K1006"/>
    </row>
    <row r="1007" spans="11:11">
      <c r="K1007"/>
    </row>
    <row r="1008" spans="11:11">
      <c r="K1008"/>
    </row>
    <row r="1009" spans="11:11">
      <c r="K1009"/>
    </row>
    <row r="1010" spans="11:11">
      <c r="K1010"/>
    </row>
    <row r="1011" spans="11:11">
      <c r="K1011"/>
    </row>
    <row r="1012" spans="11:11">
      <c r="K1012"/>
    </row>
    <row r="1013" spans="11:11">
      <c r="K1013"/>
    </row>
    <row r="1014" spans="11:11">
      <c r="K1014"/>
    </row>
    <row r="1015" spans="11:11">
      <c r="K1015"/>
    </row>
    <row r="1016" spans="11:11">
      <c r="K1016"/>
    </row>
    <row r="1017" spans="11:11">
      <c r="K1017"/>
    </row>
    <row r="1018" spans="11:11">
      <c r="K1018"/>
    </row>
    <row r="1019" spans="11:11">
      <c r="K1019"/>
    </row>
    <row r="1020" spans="11:11">
      <c r="K1020"/>
    </row>
    <row r="1021" spans="11:11">
      <c r="K1021"/>
    </row>
    <row r="1022" spans="11:11">
      <c r="K1022"/>
    </row>
    <row r="1023" spans="11:11">
      <c r="K1023"/>
    </row>
    <row r="1024" spans="11:11">
      <c r="K1024"/>
    </row>
  </sheetData>
  <conditionalFormatting pivot="1" sqref="C3:C14">
    <cfRule type="colorScale" priority="8">
      <colorScale>
        <cfvo type="min"/>
        <cfvo type="max"/>
        <color rgb="FF63BE7B"/>
        <color rgb="FFFFEF9C"/>
      </colorScale>
    </cfRule>
  </conditionalFormatting>
  <conditionalFormatting sqref="M18:N23">
    <cfRule type="dataBar" priority="7">
      <dataBar>
        <cfvo type="min"/>
        <cfvo type="max"/>
        <color rgb="FF63C384"/>
      </dataBar>
      <extLst>
        <ext xmlns:x14="http://schemas.microsoft.com/office/spreadsheetml/2009/9/main" uri="{B025F937-C7B1-47D3-B67F-A62EFF666E3E}">
          <x14:id>{4F398000-AA2A-42AA-9198-066371E3DC51}</x14:id>
        </ext>
      </extLst>
    </cfRule>
  </conditionalFormatting>
  <conditionalFormatting pivot="1" sqref="C19:C28">
    <cfRule type="cellIs" dxfId="5" priority="6" operator="greaterThan">
      <formula>0.1049</formula>
    </cfRule>
  </conditionalFormatting>
  <conditionalFormatting pivot="1" sqref="C19:C28">
    <cfRule type="cellIs" dxfId="4" priority="5" operator="between">
      <formula>0.0955</formula>
      <formula>0.101</formula>
    </cfRule>
  </conditionalFormatting>
  <conditionalFormatting pivot="1" sqref="C19:C28">
    <cfRule type="cellIs" dxfId="3" priority="4" operator="between">
      <formula>0.09</formula>
      <formula>0.0954</formula>
    </cfRule>
  </conditionalFormatting>
  <conditionalFormatting sqref="C18:C28">
    <cfRule type="cellIs" dxfId="2" priority="3" operator="greaterThan">
      <formula>0.1029</formula>
    </cfRule>
  </conditionalFormatting>
  <conditionalFormatting pivot="1" sqref="C19:C28">
    <cfRule type="cellIs" dxfId="1" priority="2" operator="between">
      <formula>0.0954</formula>
      <formula>0.1039</formula>
    </cfRule>
  </conditionalFormatting>
  <conditionalFormatting pivot="1" sqref="C19:C28">
    <cfRule type="cellIs" dxfId="0" priority="1" operator="lessThan">
      <formula>0.09</formula>
    </cfRule>
  </conditionalFormatting>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dataBar" id="{4F398000-AA2A-42AA-9198-066371E3DC51}">
            <x14:dataBar minLength="0" maxLength="100" border="1" negativeBarBorderColorSameAsPositive="0">
              <x14:cfvo type="autoMin"/>
              <x14:cfvo type="autoMax"/>
              <x14:borderColor rgb="FF63C384"/>
              <x14:negativeFillColor rgb="FFFF0000"/>
              <x14:negativeBorderColor rgb="FFFF0000"/>
              <x14:axisColor rgb="FF000000"/>
            </x14:dataBar>
          </x14:cfRule>
          <xm:sqref>M18:N23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4"/>
  <sheetViews>
    <sheetView workbookViewId="0">
      <selection activeCell="D22" sqref="D22"/>
    </sheetView>
  </sheetViews>
  <sheetFormatPr defaultRowHeight="14.4"/>
  <cols>
    <col min="1" max="1" width="34.21875" customWidth="1"/>
    <col min="2" max="2" width="12.6640625" bestFit="1" customWidth="1"/>
  </cols>
  <sheetData>
    <row r="1" spans="1:2">
      <c r="A1" t="s">
        <v>40</v>
      </c>
    </row>
    <row r="2" spans="1:2">
      <c r="A2" t="s">
        <v>41</v>
      </c>
      <c r="B2" s="5">
        <f>SUM(SpendDataTbl[Amount])</f>
        <v>2506890</v>
      </c>
    </row>
    <row r="3" spans="1:2">
      <c r="A3" t="s">
        <v>42</v>
      </c>
      <c r="B3" s="5">
        <v>2506890</v>
      </c>
    </row>
    <row r="4" spans="1:2">
      <c r="A4" t="s">
        <v>43</v>
      </c>
      <c r="B4" t="str">
        <f>IF(B2=B3,"PASS","FAIL")</f>
        <v>PASS</v>
      </c>
    </row>
    <row r="6" spans="1:2">
      <c r="A6" t="s">
        <v>44</v>
      </c>
    </row>
    <row r="7" spans="1:2">
      <c r="A7" t="s">
        <v>45</v>
      </c>
      <c r="B7">
        <f>COUNTIF(SpendDataTbl[Delivery Status],"On-time")</f>
        <v>512</v>
      </c>
    </row>
    <row r="8" spans="1:2">
      <c r="A8" t="s">
        <v>46</v>
      </c>
      <c r="B8">
        <f>COUNTIF(SpendDataTbl[Delivery Status],"Late")</f>
        <v>488</v>
      </c>
    </row>
    <row r="10" spans="1:2">
      <c r="A10" t="s">
        <v>47</v>
      </c>
    </row>
    <row r="11" spans="1:2">
      <c r="A11" t="s">
        <v>48</v>
      </c>
      <c r="B11">
        <f>COUNTIF(SpendDataTbl[Defects],"Yes")</f>
        <v>488</v>
      </c>
    </row>
    <row r="13" spans="1:2">
      <c r="A13" t="s">
        <v>49</v>
      </c>
    </row>
    <row r="14" spans="1:2">
      <c r="A14" t="s">
        <v>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Data Model Notes section</vt:lpstr>
      <vt:lpstr>SpendDataTbl</vt:lpstr>
      <vt:lpstr>Dashboard</vt:lpstr>
      <vt:lpstr>PivotTables</vt:lpstr>
      <vt:lpstr>Tests_Validation</vt:lpstr>
      <vt:lpstr>'Data Model Notes section'!Print_Area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Jackline Kairuthi</cp:lastModifiedBy>
  <cp:lastPrinted>2026-04-12T21:55:16Z</cp:lastPrinted>
  <dcterms:created xsi:type="dcterms:W3CDTF">2026-04-09T23:54:40Z</dcterms:created>
  <dcterms:modified xsi:type="dcterms:W3CDTF">2026-04-12T22:46:41Z</dcterms:modified>
</cp:coreProperties>
</file>